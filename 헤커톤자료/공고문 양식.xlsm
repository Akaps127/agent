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codeName="현재_통합_문서" defaultThemeVersion="124226"/>
  <mc:AlternateContent xmlns:mc="http://schemas.openxmlformats.org/markup-compatibility/2006">
    <mc:Choice Requires="x15">
      <x15ac:absPath xmlns:x15ac="http://schemas.microsoft.com/office/spreadsheetml/2010/11/ac" url="C:\윈도우문서\AI-Human 협업 기반 환경공단 헤커톤\"/>
    </mc:Choice>
  </mc:AlternateContent>
  <xr:revisionPtr revIDLastSave="0" documentId="13_ncr:1_{E5C77F8A-4DBE-4B7D-95BE-E5537ED1CFB6}" xr6:coauthVersionLast="47" xr6:coauthVersionMax="47" xr10:uidLastSave="{00000000-0000-0000-0000-000000000000}"/>
  <bookViews>
    <workbookView xWindow="-108" yWindow="-108" windowWidth="23256" windowHeight="12456" activeTab="1" xr2:uid="{00000000-000D-0000-FFFF-FFFF00000000}"/>
  </bookViews>
  <sheets>
    <sheet name="입력창" sheetId="2" r:id="rId1"/>
    <sheet name="공고문" sheetId="1" r:id="rId2"/>
    <sheet name="(중소벤처기업부 공고 제2020-13호)" sheetId="3" r:id="rId3"/>
  </sheets>
  <definedNames>
    <definedName name="_xlnm.Print_Area" localSheetId="1">공고문!$A$1:$U$82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 l="1"/>
  <c r="B44" i="1" l="1"/>
  <c r="B26" i="1" l="1"/>
  <c r="B2" i="1"/>
  <c r="B40" i="1" l="1"/>
  <c r="B50" i="1"/>
  <c r="B28" i="1"/>
  <c r="R79" i="1"/>
  <c r="B74" i="1"/>
  <c r="B75" i="1"/>
  <c r="E6" i="2"/>
  <c r="B43" i="1" s="1"/>
  <c r="E11" i="2"/>
  <c r="B34" i="1" s="1"/>
  <c r="F9" i="2"/>
  <c r="D11" i="1"/>
  <c r="D10" i="1"/>
  <c r="D9" i="1"/>
  <c r="B33" i="1" l="1"/>
</calcChain>
</file>

<file path=xl/sharedStrings.xml><?xml version="1.0" encoding="utf-8"?>
<sst xmlns="http://schemas.openxmlformats.org/spreadsheetml/2006/main" count="1185" uniqueCount="981">
  <si>
    <t>강연대</t>
  </si>
  <si>
    <t>교실용걸상</t>
  </si>
  <si>
    <t>라운지용의자</t>
  </si>
  <si>
    <t>군용사물함</t>
  </si>
  <si>
    <t>사물함</t>
  </si>
  <si>
    <t>보조책상</t>
  </si>
  <si>
    <t>산업용작업대</t>
  </si>
  <si>
    <t>소파</t>
  </si>
  <si>
    <t>수강용탁자</t>
  </si>
  <si>
    <t>수장고용수납장</t>
  </si>
  <si>
    <t>식탁</t>
  </si>
  <si>
    <t>신발장</t>
  </si>
  <si>
    <t>실험대</t>
  </si>
  <si>
    <t>시약보관대</t>
  </si>
  <si>
    <t>실험기구진열장</t>
  </si>
  <si>
    <t>실험실용씽크대</t>
  </si>
  <si>
    <t>이동식서가</t>
  </si>
  <si>
    <t>이동식스툴테이블</t>
  </si>
  <si>
    <t>이동형파일서랍</t>
  </si>
  <si>
    <t>작업용의자</t>
  </si>
  <si>
    <t>장롱</t>
  </si>
  <si>
    <t>전시용진열대</t>
  </si>
  <si>
    <t>상업용조리대</t>
  </si>
  <si>
    <t>책상</t>
  </si>
  <si>
    <t>책걸상</t>
  </si>
  <si>
    <t>책장</t>
  </si>
  <si>
    <t>청소도구함</t>
  </si>
  <si>
    <t>침대</t>
  </si>
  <si>
    <t>카운터</t>
  </si>
  <si>
    <t>칸막이형열람대</t>
  </si>
  <si>
    <t>캐비닛</t>
  </si>
  <si>
    <t>컴퓨터책상</t>
  </si>
  <si>
    <t>응접탁자</t>
  </si>
  <si>
    <t>학생용책상</t>
  </si>
  <si>
    <t>회의용탁자</t>
  </si>
  <si>
    <t>목제문틀</t>
  </si>
  <si>
    <t>가정용싱크대</t>
  </si>
  <si>
    <t>상업용싱크대</t>
  </si>
  <si>
    <t>가정용조리대</t>
  </si>
  <si>
    <t>주방기기용받침대</t>
  </si>
  <si>
    <t>찬장</t>
  </si>
  <si>
    <t>목제창</t>
  </si>
  <si>
    <t>철제가드레일</t>
  </si>
  <si>
    <t>철제도로중앙분리대</t>
  </si>
  <si>
    <t>조명타워</t>
  </si>
  <si>
    <t>가로등주부속자재</t>
  </si>
  <si>
    <t>복합형가로등주</t>
  </si>
  <si>
    <t>스테인리스가로등주</t>
  </si>
  <si>
    <t>주철가로등주</t>
  </si>
  <si>
    <t>철제가로등주</t>
  </si>
  <si>
    <t>농구대</t>
  </si>
  <si>
    <t>가설재울타리</t>
  </si>
  <si>
    <t>디자인형울타리</t>
  </si>
  <si>
    <t>메시형울타리</t>
  </si>
  <si>
    <t>창살형울타리</t>
  </si>
  <si>
    <t>낙석방지책</t>
  </si>
  <si>
    <t>알루미늄제교량난간</t>
  </si>
  <si>
    <t>철제교량난간</t>
  </si>
  <si>
    <t>돌망태</t>
  </si>
  <si>
    <t>가설방음판</t>
  </si>
  <si>
    <t>흡음형방음벽및방음판</t>
  </si>
  <si>
    <t>간접가열보일러</t>
  </si>
  <si>
    <t>수관보일러</t>
  </si>
  <si>
    <t>연관보일러</t>
  </si>
  <si>
    <t>폐열보일러</t>
  </si>
  <si>
    <t>저수탱크</t>
  </si>
  <si>
    <t>물탱크</t>
  </si>
  <si>
    <t>빗물저장탱크</t>
  </si>
  <si>
    <t>온수탱크</t>
  </si>
  <si>
    <t>덱플레이트</t>
  </si>
  <si>
    <t>스틸그레이팅</t>
  </si>
  <si>
    <t>전광스코어보드</t>
  </si>
  <si>
    <t>이동식초소</t>
  </si>
  <si>
    <t>흡연부스</t>
  </si>
  <si>
    <t>기타이동식부스</t>
  </si>
  <si>
    <t>버스승강장</t>
  </si>
  <si>
    <t>자전거보관대</t>
  </si>
  <si>
    <t>조립식구조물</t>
  </si>
  <si>
    <t>컨테이너하우스</t>
  </si>
  <si>
    <t>교량받침</t>
  </si>
  <si>
    <t>주철맨홀뚜껑</t>
  </si>
  <si>
    <t>압륜</t>
  </si>
  <si>
    <t>금속제창</t>
  </si>
  <si>
    <t>용접철망</t>
  </si>
  <si>
    <t>체스트프레스머신</t>
  </si>
  <si>
    <t>트레드밀</t>
  </si>
  <si>
    <t>레그프레스머신</t>
  </si>
  <si>
    <t>하체근력강화용자전거</t>
  </si>
  <si>
    <t>옥외용벤치</t>
  </si>
  <si>
    <t>조합놀이대</t>
  </si>
  <si>
    <t>퍼걸러</t>
  </si>
  <si>
    <t>케이블트레이</t>
  </si>
  <si>
    <t>케이블트레이부속품</t>
  </si>
  <si>
    <t>볼라드</t>
  </si>
  <si>
    <t>차양</t>
  </si>
  <si>
    <t>파형강관</t>
  </si>
  <si>
    <t>파형강관이음관</t>
  </si>
  <si>
    <t>공기조화기</t>
  </si>
  <si>
    <t>제습기</t>
  </si>
  <si>
    <t>냉각탑</t>
  </si>
  <si>
    <t>스크루냉동기</t>
  </si>
  <si>
    <t>선과기</t>
  </si>
  <si>
    <t>농축산용방역장비</t>
  </si>
  <si>
    <t>동력분무기</t>
  </si>
  <si>
    <t>비료살포기</t>
  </si>
  <si>
    <t>사료배합기</t>
  </si>
  <si>
    <t>과일세정살균기</t>
  </si>
  <si>
    <t>자동야채세척기</t>
  </si>
  <si>
    <t>쇄토기</t>
  </si>
  <si>
    <t>땅속작물수확기</t>
  </si>
  <si>
    <t>수확용건조기</t>
  </si>
  <si>
    <t>목재파쇄기</t>
  </si>
  <si>
    <t>쟁기</t>
  </si>
  <si>
    <t>정지기</t>
  </si>
  <si>
    <t>퇴비살포기</t>
  </si>
  <si>
    <t>대형냉장고</t>
  </si>
  <si>
    <t>부스터펌프</t>
  </si>
  <si>
    <t>입축사류펌프</t>
  </si>
  <si>
    <t>횡축사류펌프</t>
  </si>
  <si>
    <t>수중펌프</t>
  </si>
  <si>
    <t>수중인라인펌프</t>
  </si>
  <si>
    <t>슬러지펌프</t>
  </si>
  <si>
    <t>심정용펌프</t>
  </si>
  <si>
    <t>오수펌프</t>
  </si>
  <si>
    <t>다단벌류트펌프</t>
  </si>
  <si>
    <t>단단벌류트펌프</t>
  </si>
  <si>
    <t>양흡입벌류트펌프</t>
  </si>
  <si>
    <t>편흡입벌류트펌프</t>
  </si>
  <si>
    <t>전진공동펌프</t>
  </si>
  <si>
    <t>정량펌프</t>
  </si>
  <si>
    <t>입축축류펌프</t>
  </si>
  <si>
    <t>무대장치</t>
  </si>
  <si>
    <t>버터플라이밸브</t>
  </si>
  <si>
    <t>제수밸브</t>
  </si>
  <si>
    <t>체크밸브</t>
  </si>
  <si>
    <t>플랩밸브</t>
  </si>
  <si>
    <t>방역용소독기</t>
  </si>
  <si>
    <t>상업용오븐</t>
  </si>
  <si>
    <t>소화전</t>
  </si>
  <si>
    <t>수동식소화기</t>
  </si>
  <si>
    <t>자동식소화기</t>
  </si>
  <si>
    <t>화재수신기</t>
  </si>
  <si>
    <t>소방펌프차</t>
  </si>
  <si>
    <t>소음기</t>
  </si>
  <si>
    <t>송풍기</t>
  </si>
  <si>
    <t>가동보</t>
  </si>
  <si>
    <t>수문문비</t>
  </si>
  <si>
    <t>수문문틀</t>
  </si>
  <si>
    <t>수문밸브</t>
  </si>
  <si>
    <t>수문권양기</t>
  </si>
  <si>
    <t>덤웨이터</t>
  </si>
  <si>
    <t>승객용엘리베이터</t>
  </si>
  <si>
    <t>화물용엘리베이터</t>
  </si>
  <si>
    <t>휠체어리프트</t>
  </si>
  <si>
    <t>약품투입기</t>
  </si>
  <si>
    <t>염소투입기</t>
  </si>
  <si>
    <t>차아염소산나트륨발생장치</t>
  </si>
  <si>
    <t>백필터</t>
  </si>
  <si>
    <t>제진장치</t>
  </si>
  <si>
    <t>원통다관식열교환기</t>
  </si>
  <si>
    <t>판형열교환기</t>
  </si>
  <si>
    <t>음식물쓰레기처리기</t>
  </si>
  <si>
    <t>응집기</t>
  </si>
  <si>
    <t>청정실</t>
  </si>
  <si>
    <t>자외선살균기</t>
  </si>
  <si>
    <t>재활용품압축기</t>
  </si>
  <si>
    <t>정수기</t>
  </si>
  <si>
    <t>주차안내판</t>
  </si>
  <si>
    <t>주차요금계산기</t>
  </si>
  <si>
    <t>주차주제어장치</t>
  </si>
  <si>
    <t>차량인식기</t>
  </si>
  <si>
    <t>차량차단기</t>
  </si>
  <si>
    <t>배식대</t>
  </si>
  <si>
    <t>국솥</t>
  </si>
  <si>
    <t>부침기</t>
  </si>
  <si>
    <t>상업용가스레인지</t>
  </si>
  <si>
    <t>취반기</t>
  </si>
  <si>
    <t>상업용식기세척기</t>
  </si>
  <si>
    <t>상업용주방후드</t>
  </si>
  <si>
    <t>세미기</t>
  </si>
  <si>
    <t>식기건조대</t>
  </si>
  <si>
    <t>음수기</t>
  </si>
  <si>
    <t>주방기구소독기</t>
  </si>
  <si>
    <t>지브크레인</t>
  </si>
  <si>
    <t>천장크레인</t>
  </si>
  <si>
    <t>전동식와이어로프호이스트</t>
  </si>
  <si>
    <t>디스크형농축기</t>
  </si>
  <si>
    <t>디칸터형원심탈수기</t>
  </si>
  <si>
    <t>벨트프레스탈수기</t>
  </si>
  <si>
    <t>스크루프레스형탈수기</t>
  </si>
  <si>
    <t>원심농축기</t>
  </si>
  <si>
    <t>필터프레스탈수기</t>
  </si>
  <si>
    <t>탈취기</t>
  </si>
  <si>
    <t>상향류식여과장치</t>
  </si>
  <si>
    <t>섬유여과기</t>
  </si>
  <si>
    <t>워터필터</t>
  </si>
  <si>
    <t>팬코일유닛</t>
  </si>
  <si>
    <t>소각로</t>
  </si>
  <si>
    <t>화장로</t>
  </si>
  <si>
    <t>경사판침강장치</t>
  </si>
  <si>
    <t>드럼스크린</t>
  </si>
  <si>
    <t>배연탈황기</t>
  </si>
  <si>
    <t>벨트컨베이어</t>
  </si>
  <si>
    <t>부상분리장치</t>
  </si>
  <si>
    <t>산소발생기</t>
  </si>
  <si>
    <t>스컴제거기</t>
  </si>
  <si>
    <t>스크루컨베이어</t>
  </si>
  <si>
    <t>슬러지수집기</t>
  </si>
  <si>
    <t>에어컨베이어</t>
  </si>
  <si>
    <t>침사인양기</t>
  </si>
  <si>
    <t>오수처리용산기장치</t>
  </si>
  <si>
    <t>일체형폐수처리장치</t>
  </si>
  <si>
    <t>원심분리기</t>
  </si>
  <si>
    <t>제진기</t>
  </si>
  <si>
    <t>체인컨베이어</t>
  </si>
  <si>
    <t>평면스크린</t>
  </si>
  <si>
    <t>협잡물처리기</t>
  </si>
  <si>
    <t>호퍼</t>
  </si>
  <si>
    <t>활성탄공급장치</t>
  </si>
  <si>
    <t>항온항습기</t>
  </si>
  <si>
    <t>교반기</t>
  </si>
  <si>
    <t>혼합기</t>
  </si>
  <si>
    <t>각재</t>
  </si>
  <si>
    <t>수목보호용지지대</t>
  </si>
  <si>
    <t>골판지상자</t>
  </si>
  <si>
    <t>이동식화장실</t>
  </si>
  <si>
    <t>기타이동식화장실</t>
  </si>
  <si>
    <t>방부목</t>
  </si>
  <si>
    <t>종이포대</t>
  </si>
  <si>
    <t>신문용지절지</t>
  </si>
  <si>
    <t>프린트및복사용지</t>
  </si>
  <si>
    <t>중질지</t>
  </si>
  <si>
    <t>플로어링보드</t>
  </si>
  <si>
    <t>목재판재</t>
  </si>
  <si>
    <t>합성목재</t>
  </si>
  <si>
    <t>화장실용화장지</t>
  </si>
  <si>
    <t>개인용소형가방</t>
  </si>
  <si>
    <t>서류가방</t>
  </si>
  <si>
    <t>소지품케이스</t>
  </si>
  <si>
    <t>손가방</t>
  </si>
  <si>
    <t>지갑</t>
  </si>
  <si>
    <t>소방용기동복</t>
  </si>
  <si>
    <t>기동복</t>
  </si>
  <si>
    <t>내복</t>
  </si>
  <si>
    <t>사각팬티</t>
  </si>
  <si>
    <t>삼각팬티</t>
  </si>
  <si>
    <t>매트리스</t>
  </si>
  <si>
    <t>매트리스커버</t>
  </si>
  <si>
    <t>담요</t>
  </si>
  <si>
    <t>배낭</t>
  </si>
  <si>
    <t>벨트</t>
  </si>
  <si>
    <t>나일론로프</t>
  </si>
  <si>
    <t>폴리프로필렌로프</t>
  </si>
  <si>
    <t>타월</t>
  </si>
  <si>
    <t>남성용스웨터</t>
  </si>
  <si>
    <t>양말</t>
  </si>
  <si>
    <t>요대</t>
  </si>
  <si>
    <t>남성용운동복</t>
  </si>
  <si>
    <t>여성용운동복</t>
  </si>
  <si>
    <t>의류대</t>
  </si>
  <si>
    <t>요</t>
  </si>
  <si>
    <t>베개</t>
  </si>
  <si>
    <t>시트</t>
  </si>
  <si>
    <t>이불커버</t>
  </si>
  <si>
    <t>남자근무복</t>
  </si>
  <si>
    <t>남자작업복</t>
  </si>
  <si>
    <t>여자근무복</t>
  </si>
  <si>
    <t>여자작업복</t>
  </si>
  <si>
    <t>야광조끼</t>
  </si>
  <si>
    <t>농약안전사용장비</t>
  </si>
  <si>
    <t>침투성보호의</t>
  </si>
  <si>
    <t>남성용외투</t>
  </si>
  <si>
    <t>여성용외투</t>
  </si>
  <si>
    <t>장갑</t>
  </si>
  <si>
    <t>남자정복</t>
  </si>
  <si>
    <t>여자정복</t>
  </si>
  <si>
    <t>야영용텐트</t>
  </si>
  <si>
    <t>지주식천막</t>
  </si>
  <si>
    <t>침낭</t>
  </si>
  <si>
    <t>국방규격</t>
  </si>
  <si>
    <t>롤업셰이드</t>
  </si>
  <si>
    <t>베니션블라인드</t>
  </si>
  <si>
    <t>커튼</t>
  </si>
  <si>
    <t>차수매트</t>
  </si>
  <si>
    <t>토목용부직포</t>
  </si>
  <si>
    <t>폴리에스테르직물</t>
  </si>
  <si>
    <t>소모직물</t>
  </si>
  <si>
    <t>깍두기</t>
  </si>
  <si>
    <t>열무김치</t>
  </si>
  <si>
    <t>총각김치</t>
  </si>
  <si>
    <t>건빵</t>
  </si>
  <si>
    <t>냉동빵</t>
  </si>
  <si>
    <t>말린빵</t>
  </si>
  <si>
    <t>상온보관용빵</t>
  </si>
  <si>
    <t>신선한빵</t>
  </si>
  <si>
    <t>새우패티</t>
  </si>
  <si>
    <t>식육가공품</t>
  </si>
  <si>
    <t>조미김</t>
  </si>
  <si>
    <t>카레</t>
  </si>
  <si>
    <t>참치캔통조림</t>
  </si>
  <si>
    <t>골뱅이통조림</t>
  </si>
  <si>
    <t>간판</t>
  </si>
  <si>
    <t>실물모형</t>
  </si>
  <si>
    <t>교재</t>
  </si>
  <si>
    <t>팸플릿</t>
  </si>
  <si>
    <t>기타인쇄물</t>
  </si>
  <si>
    <t>달력</t>
  </si>
  <si>
    <t>법전</t>
  </si>
  <si>
    <t>신문</t>
  </si>
  <si>
    <t>명세서</t>
  </si>
  <si>
    <t>서적</t>
  </si>
  <si>
    <t>엽서</t>
  </si>
  <si>
    <t>일반행정공통서식</t>
  </si>
  <si>
    <t>편람</t>
  </si>
  <si>
    <t>정기간행물</t>
  </si>
  <si>
    <t>공책</t>
  </si>
  <si>
    <t>수첩</t>
  </si>
  <si>
    <t>전산디자인</t>
  </si>
  <si>
    <t>통장</t>
  </si>
  <si>
    <t>표</t>
  </si>
  <si>
    <t>포스터</t>
  </si>
  <si>
    <t>라벨용지</t>
  </si>
  <si>
    <t>연감</t>
  </si>
  <si>
    <t>안내판걸이구</t>
  </si>
  <si>
    <t>전시대</t>
  </si>
  <si>
    <t>건물번호판</t>
  </si>
  <si>
    <t>도로명판</t>
  </si>
  <si>
    <t>기초번호판</t>
  </si>
  <si>
    <t>조형물</t>
  </si>
  <si>
    <t>현수막</t>
  </si>
  <si>
    <t>보안등기구</t>
  </si>
  <si>
    <t>고압나트륨램프</t>
  </si>
  <si>
    <t>가로등기구</t>
  </si>
  <si>
    <t>터널용등기구</t>
  </si>
  <si>
    <t>나트륨램프용안정기</t>
  </si>
  <si>
    <t>메탈할라이드램프용안정기</t>
  </si>
  <si>
    <t>메탈할라이드램프</t>
  </si>
  <si>
    <t>태양광가로등</t>
  </si>
  <si>
    <t>하이브리드가로등</t>
  </si>
  <si>
    <t>수중조명등</t>
  </si>
  <si>
    <t>경관조명기구</t>
  </si>
  <si>
    <t>투광등기구</t>
  </si>
  <si>
    <t>탐조등</t>
  </si>
  <si>
    <t>계장제어장치</t>
  </si>
  <si>
    <t>교통신호등</t>
  </si>
  <si>
    <t>교통신호제어기</t>
  </si>
  <si>
    <t>신호등주</t>
  </si>
  <si>
    <t>종합폴</t>
  </si>
  <si>
    <t>도로표지병</t>
  </si>
  <si>
    <t>교통안전표지</t>
  </si>
  <si>
    <t>도로표지</t>
  </si>
  <si>
    <t>무정전전원장치</t>
  </si>
  <si>
    <t>디젤발전기</t>
  </si>
  <si>
    <t>폐쇄형배전반</t>
  </si>
  <si>
    <t>분전반</t>
  </si>
  <si>
    <t>전동기제어반</t>
  </si>
  <si>
    <t>건식변압기</t>
  </si>
  <si>
    <t>몰드변압기</t>
  </si>
  <si>
    <t>유입변압기</t>
  </si>
  <si>
    <t>주상변압기</t>
  </si>
  <si>
    <t>철도용단권변압기</t>
  </si>
  <si>
    <t>부하개폐형지상변압기</t>
  </si>
  <si>
    <t>일반지상변압기</t>
  </si>
  <si>
    <t>수도미터</t>
  </si>
  <si>
    <t>유량계</t>
  </si>
  <si>
    <t>가로등자동점멸기</t>
  </si>
  <si>
    <t>조명용제어장치</t>
  </si>
  <si>
    <t>빌딩자동제어장치</t>
  </si>
  <si>
    <t>모니터장치</t>
  </si>
  <si>
    <t>전력보호감시장치</t>
  </si>
  <si>
    <t>집중표시제어장치</t>
  </si>
  <si>
    <t>최대수요전력제어기</t>
  </si>
  <si>
    <t>전기용경동연선</t>
  </si>
  <si>
    <t>전기용연동연선</t>
  </si>
  <si>
    <t>산업용충전장치</t>
  </si>
  <si>
    <t>태양광발전장치</t>
  </si>
  <si>
    <t>프로세스제어반</t>
  </si>
  <si>
    <t>다운라이트</t>
  </si>
  <si>
    <t>매달림형형광등기구</t>
  </si>
  <si>
    <t>매입형형광등기구</t>
  </si>
  <si>
    <t>천장직부형형광등기구</t>
  </si>
  <si>
    <t>데스크톱컴퓨터</t>
  </si>
  <si>
    <t>일체형컴퓨터</t>
  </si>
  <si>
    <t>구내방송장치</t>
  </si>
  <si>
    <t>고압멸균기</t>
  </si>
  <si>
    <t>공정제어실험장치</t>
  </si>
  <si>
    <t>교육훈련장비</t>
  </si>
  <si>
    <t>기초물리실험장치</t>
  </si>
  <si>
    <t>대형온습도환경조성실</t>
  </si>
  <si>
    <t>멀티미디어학습장치</t>
  </si>
  <si>
    <t>수업자동녹화시스템</t>
  </si>
  <si>
    <t>무균대</t>
  </si>
  <si>
    <t>무균함</t>
  </si>
  <si>
    <t>식물생장조절실</t>
  </si>
  <si>
    <t>신재생에너지실험장치</t>
  </si>
  <si>
    <t>실물화상기</t>
  </si>
  <si>
    <t>실험실용배기기</t>
  </si>
  <si>
    <t>실험용세척기</t>
  </si>
  <si>
    <t>영사대</t>
  </si>
  <si>
    <t>영사용스크린</t>
  </si>
  <si>
    <t>유압제어실험장치</t>
  </si>
  <si>
    <t>인터랙티브화이트보드</t>
  </si>
  <si>
    <t>엔진모의장치</t>
  </si>
  <si>
    <t>전기전자교육자료</t>
  </si>
  <si>
    <t>논리회로실험장치</t>
  </si>
  <si>
    <t>정보통신망실습장비</t>
  </si>
  <si>
    <t>종합계측기</t>
  </si>
  <si>
    <t>초순수제조기</t>
  </si>
  <si>
    <t>프로그래머블로직컨트롤러</t>
  </si>
  <si>
    <t>항온항습조</t>
  </si>
  <si>
    <t>전자회로실험장치</t>
  </si>
  <si>
    <t>광다중화장치</t>
  </si>
  <si>
    <t>영상정보디스플레이장치</t>
  </si>
  <si>
    <t>무인안내시스템</t>
  </si>
  <si>
    <t>버스및차량정보안내장치</t>
  </si>
  <si>
    <t>디스크어레이</t>
  </si>
  <si>
    <t>드론</t>
  </si>
  <si>
    <t>무선통신송신기</t>
  </si>
  <si>
    <t>무선통신장치</t>
  </si>
  <si>
    <t>무선송수신기</t>
  </si>
  <si>
    <t>특수목적컴퓨터</t>
  </si>
  <si>
    <t>손목시계</t>
  </si>
  <si>
    <t>열차행선안내장치</t>
  </si>
  <si>
    <t>원격접속장치</t>
  </si>
  <si>
    <t>교통정보전광판</t>
  </si>
  <si>
    <t>기상전광판</t>
  </si>
  <si>
    <t>안내전광판</t>
  </si>
  <si>
    <t>동보장치</t>
  </si>
  <si>
    <t>자동안내장치</t>
  </si>
  <si>
    <t>통합배선반</t>
  </si>
  <si>
    <t>출입통제시스템</t>
  </si>
  <si>
    <t>컴퓨터서버</t>
  </si>
  <si>
    <t>영상감시장치</t>
  </si>
  <si>
    <t>보안용카메라</t>
  </si>
  <si>
    <t>차량번호판독기</t>
  </si>
  <si>
    <t>레미콘</t>
  </si>
  <si>
    <t>콘크리트맨홀블록</t>
  </si>
  <si>
    <t>플라스틱계맨홀</t>
  </si>
  <si>
    <t>석재블록</t>
  </si>
  <si>
    <t>자연석경계석</t>
  </si>
  <si>
    <t>석재타일및판석</t>
  </si>
  <si>
    <t>자연석판석</t>
  </si>
  <si>
    <t>조경석</t>
  </si>
  <si>
    <t>화강암</t>
  </si>
  <si>
    <t>화강석</t>
  </si>
  <si>
    <t>잡석</t>
  </si>
  <si>
    <t>석회석</t>
  </si>
  <si>
    <t>규산비료</t>
  </si>
  <si>
    <t>석회비료</t>
  </si>
  <si>
    <t>세라믹기와</t>
  </si>
  <si>
    <t>그을림한식기와</t>
  </si>
  <si>
    <t>오지기와</t>
  </si>
  <si>
    <t>유약기와</t>
  </si>
  <si>
    <t>정찬식기세트</t>
  </si>
  <si>
    <t>식기</t>
  </si>
  <si>
    <t>반상기</t>
  </si>
  <si>
    <t>아스팔트콘크리트</t>
  </si>
  <si>
    <t>순환아스팔트콘크리트</t>
  </si>
  <si>
    <t>세라믹벽돌</t>
  </si>
  <si>
    <t>미장벽돌</t>
  </si>
  <si>
    <t>점토바닥벽돌</t>
  </si>
  <si>
    <t>조립식철근콘크리트암거블록</t>
  </si>
  <si>
    <t>조립식철근콘크리트저류블록</t>
  </si>
  <si>
    <t>순환골재</t>
  </si>
  <si>
    <t>혼합골재</t>
  </si>
  <si>
    <t>콘크리트관</t>
  </si>
  <si>
    <t>원심력유공철근콘크리트관</t>
  </si>
  <si>
    <t>원심력철근콘크리트관</t>
  </si>
  <si>
    <t>진동및전압철근콘크리트관</t>
  </si>
  <si>
    <t>콘크리트기초</t>
  </si>
  <si>
    <t>배수로</t>
  </si>
  <si>
    <t>철근콘크리트벤치플룸관</t>
  </si>
  <si>
    <t>철근콘크리트플룸관</t>
  </si>
  <si>
    <t>철근콘크리트용배수로관</t>
  </si>
  <si>
    <t>콘크리트벽돌</t>
  </si>
  <si>
    <t>콘크리트블록</t>
  </si>
  <si>
    <t>보차도용콘크리트블록</t>
  </si>
  <si>
    <t>소파블록</t>
  </si>
  <si>
    <t>속빈콘크리트블록</t>
  </si>
  <si>
    <t>콘크리트경계블록</t>
  </si>
  <si>
    <t>콘크리트호안및옹벽블록</t>
  </si>
  <si>
    <t>안전유도블록</t>
  </si>
  <si>
    <t>콘크리트파일</t>
  </si>
  <si>
    <t>세라믹타일또는판석</t>
  </si>
  <si>
    <t>그림타일</t>
  </si>
  <si>
    <t>도기질타일</t>
  </si>
  <si>
    <t>모자이크타일</t>
  </si>
  <si>
    <t>부조타일</t>
  </si>
  <si>
    <t>자기질타일</t>
  </si>
  <si>
    <t>다소성패턴타일</t>
  </si>
  <si>
    <t>입체문양타일</t>
  </si>
  <si>
    <t>피복강관</t>
  </si>
  <si>
    <t>폴리에틸렌피복강관</t>
  </si>
  <si>
    <t>피복강관이음</t>
  </si>
  <si>
    <t>폴리에틸렌피복강관이음관</t>
  </si>
  <si>
    <t>수량계보호통</t>
  </si>
  <si>
    <t>전선관</t>
  </si>
  <si>
    <t>경질비닐전선관</t>
  </si>
  <si>
    <r>
      <t>공압출염화비닐관</t>
    </r>
    <r>
      <rPr>
        <sz val="8"/>
        <color rgb="FF000000"/>
        <rFont val="한양중고딕"/>
        <family val="3"/>
        <charset val="129"/>
      </rPr>
      <t>(FC</t>
    </r>
    <r>
      <rPr>
        <sz val="8"/>
        <color rgb="FF000000"/>
        <rFont val="맑은 고딕"/>
        <family val="3"/>
        <charset val="129"/>
        <scheme val="minor"/>
      </rPr>
      <t>관</t>
    </r>
    <r>
      <rPr>
        <sz val="8"/>
        <color rgb="FF000000"/>
        <rFont val="한양중고딕"/>
        <family val="3"/>
        <charset val="129"/>
      </rPr>
      <t>)</t>
    </r>
  </si>
  <si>
    <t>파상형경질폴리에틸렌전선관</t>
  </si>
  <si>
    <t>폴리에틸렌전선관</t>
  </si>
  <si>
    <t>합성수지제가요전선관</t>
  </si>
  <si>
    <t>토너</t>
  </si>
  <si>
    <t>재제조토너</t>
  </si>
  <si>
    <t>방청페인트</t>
  </si>
  <si>
    <t>에나멜페인트</t>
  </si>
  <si>
    <t>특수페인트</t>
  </si>
  <si>
    <t>마킹페인트</t>
  </si>
  <si>
    <t>노면표지용페인트</t>
  </si>
  <si>
    <t>페인트용희석제및세척제</t>
  </si>
  <si>
    <t>시너</t>
  </si>
  <si>
    <t>폴리에틸렌관</t>
  </si>
  <si>
    <t>수도용폴리에틸렌관</t>
  </si>
  <si>
    <t>일반용폴리에틸렌관</t>
  </si>
  <si>
    <t>폴리에틸렌제관이음</t>
  </si>
  <si>
    <t>수도용폴리에틸렌이음관</t>
  </si>
  <si>
    <t>일반용폴리에틸렌이음관</t>
  </si>
  <si>
    <t>상자</t>
  </si>
  <si>
    <t>플라스틱상자</t>
  </si>
  <si>
    <t>폴리에틸렌물받이</t>
  </si>
  <si>
    <t>폴리에틸렌제물받이</t>
  </si>
  <si>
    <t>플라스틱팰릿</t>
  </si>
  <si>
    <t>플라스틱병</t>
  </si>
  <si>
    <t>방수시트</t>
  </si>
  <si>
    <t>합성고분자방수시트</t>
  </si>
  <si>
    <t>쓰레기봉투</t>
  </si>
  <si>
    <t>폴리에틸렌필름</t>
  </si>
  <si>
    <t>응집제</t>
  </si>
  <si>
    <t>무기응집제</t>
  </si>
  <si>
    <t>플라스틱포대</t>
  </si>
  <si>
    <t>폴리에틸렌포대</t>
  </si>
  <si>
    <t>폴리프로필렌포대</t>
  </si>
  <si>
    <r>
      <t>활성탄</t>
    </r>
    <r>
      <rPr>
        <sz val="8"/>
        <color rgb="FF000000"/>
        <rFont val="한양중고딕"/>
        <family val="3"/>
        <charset val="129"/>
      </rPr>
      <t>(</t>
    </r>
    <r>
      <rPr>
        <sz val="8"/>
        <color rgb="FF000000"/>
        <rFont val="맑은 고딕"/>
        <family val="3"/>
        <charset val="129"/>
        <scheme val="minor"/>
      </rPr>
      <t>活性炭</t>
    </r>
    <r>
      <rPr>
        <sz val="8"/>
        <color rgb="FF000000"/>
        <rFont val="한양중고딕"/>
        <family val="3"/>
        <charset val="129"/>
      </rPr>
      <t>)</t>
    </r>
  </si>
  <si>
    <t>활성탄</t>
  </si>
  <si>
    <t>약품탱크</t>
  </si>
  <si>
    <t>오수처리장비</t>
  </si>
  <si>
    <t>오수정화장치</t>
  </si>
  <si>
    <r>
      <t>FRP</t>
    </r>
    <r>
      <rPr>
        <sz val="8"/>
        <color rgb="FF000000"/>
        <rFont val="맑은 고딕"/>
        <family val="3"/>
        <charset val="129"/>
        <scheme val="minor"/>
      </rPr>
      <t>이동식화장실</t>
    </r>
  </si>
  <si>
    <t>정화조</t>
  </si>
  <si>
    <t>합성수지제문</t>
  </si>
  <si>
    <t>합성수지제문틀</t>
  </si>
  <si>
    <t>합성수지제창</t>
  </si>
  <si>
    <t>쓰레기통또는쓰레기통라이너</t>
  </si>
  <si>
    <t>쓰레기통</t>
  </si>
  <si>
    <t>음식물쓰레기처리통</t>
  </si>
  <si>
    <t>해상부유구조물</t>
  </si>
  <si>
    <t>포설형탄성포장재</t>
  </si>
  <si>
    <t>체육시설탄성포장재</t>
  </si>
  <si>
    <t>경질폴리염화비닐관</t>
  </si>
  <si>
    <t>수도용경질폴리염화비닐관</t>
  </si>
  <si>
    <t>일반용경질폴리염화비닐관</t>
  </si>
  <si>
    <t>경질폴리염화비닐이음관</t>
  </si>
  <si>
    <t>수도용경질폴리염화비닐이음관</t>
  </si>
  <si>
    <t>일반용경질폴리염화비닐이음관</t>
  </si>
  <si>
    <t>일반용경질폴리염화비닐제부속품</t>
  </si>
  <si>
    <t>건물청소서비스</t>
  </si>
  <si>
    <t>시설물경비서비스</t>
  </si>
  <si>
    <r>
      <t>공간정보</t>
    </r>
    <r>
      <rPr>
        <sz val="8"/>
        <color rgb="FF000000"/>
        <rFont val="한양중고딕"/>
        <family val="3"/>
        <charset val="129"/>
      </rPr>
      <t>DB</t>
    </r>
    <r>
      <rPr>
        <sz val="8"/>
        <color rgb="FF000000"/>
        <rFont val="맑은 고딕"/>
        <family val="3"/>
        <charset val="129"/>
        <scheme val="minor"/>
      </rPr>
      <t>구축서비스</t>
    </r>
  </si>
  <si>
    <t>도로여객운송서비스</t>
  </si>
  <si>
    <t>공공기관통근운송서비스</t>
  </si>
  <si>
    <t>어선</t>
  </si>
  <si>
    <t>화물선및컨테이너선</t>
  </si>
  <si>
    <t>컨테이너선</t>
  </si>
  <si>
    <t>일반화물선</t>
  </si>
  <si>
    <t>준설선</t>
  </si>
  <si>
    <t>유조선</t>
  </si>
  <si>
    <t>화학제품운반선</t>
  </si>
  <si>
    <t>예인선</t>
  </si>
  <si>
    <t>바지선</t>
  </si>
  <si>
    <t>여객및차량용도선</t>
  </si>
  <si>
    <t>자동차도선</t>
  </si>
  <si>
    <t>여객선</t>
  </si>
  <si>
    <t>순항선</t>
  </si>
  <si>
    <t>인양선</t>
  </si>
  <si>
    <t>공모선</t>
  </si>
  <si>
    <t>어획물운반선</t>
  </si>
  <si>
    <t>벌크화물선</t>
  </si>
  <si>
    <t>자동차운반선</t>
  </si>
  <si>
    <t>기중기선</t>
  </si>
  <si>
    <t>기동정</t>
  </si>
  <si>
    <t>소형보트</t>
  </si>
  <si>
    <t>소방선</t>
  </si>
  <si>
    <r>
      <t>구조선</t>
    </r>
    <r>
      <rPr>
        <sz val="8"/>
        <color rgb="FF000000"/>
        <rFont val="한양중고딕"/>
        <family val="3"/>
        <charset val="129"/>
      </rPr>
      <t>(</t>
    </r>
    <r>
      <rPr>
        <sz val="8"/>
        <color rgb="FF000000"/>
        <rFont val="맑은 고딕"/>
        <family val="3"/>
        <charset val="129"/>
        <scheme val="minor"/>
      </rPr>
      <t>구조보트포함</t>
    </r>
    <r>
      <rPr>
        <sz val="8"/>
        <color rgb="FF000000"/>
        <rFont val="한양중고딕"/>
        <family val="3"/>
        <charset val="129"/>
      </rPr>
      <t>)</t>
    </r>
  </si>
  <si>
    <t>구조선</t>
  </si>
  <si>
    <t>병원선</t>
  </si>
  <si>
    <t>순시선</t>
  </si>
  <si>
    <t>경비선</t>
  </si>
  <si>
    <r>
      <t>돛단배</t>
    </r>
    <r>
      <rPr>
        <sz val="8"/>
        <color rgb="FF000000"/>
        <rFont val="한양중고딕"/>
        <family val="3"/>
        <charset val="129"/>
      </rPr>
      <t>(</t>
    </r>
    <r>
      <rPr>
        <sz val="8"/>
        <color rgb="FF000000"/>
        <rFont val="맑은 고딕"/>
        <family val="3"/>
        <charset val="129"/>
        <scheme val="minor"/>
      </rPr>
      <t>휴양용에한함</t>
    </r>
    <r>
      <rPr>
        <sz val="8"/>
        <color rgb="FF000000"/>
        <rFont val="한양중고딕"/>
        <family val="3"/>
        <charset val="129"/>
      </rPr>
      <t>)</t>
    </r>
  </si>
  <si>
    <t>돛단배</t>
  </si>
  <si>
    <t>휴양용모터보트</t>
  </si>
  <si>
    <t>휴양용노젓는배</t>
  </si>
  <si>
    <t>래프트</t>
  </si>
  <si>
    <t>딩기</t>
  </si>
  <si>
    <t>요트</t>
  </si>
  <si>
    <t>검역선</t>
  </si>
  <si>
    <t>기상관측선</t>
  </si>
  <si>
    <t>도선사선</t>
  </si>
  <si>
    <t>세관감시선</t>
  </si>
  <si>
    <t>수로측량선</t>
  </si>
  <si>
    <t>어업단속선</t>
  </si>
  <si>
    <t>어업실습선</t>
  </si>
  <si>
    <t>어업조사선</t>
  </si>
  <si>
    <t>어업지도선</t>
  </si>
  <si>
    <t>오염관리선</t>
  </si>
  <si>
    <t>전마선</t>
  </si>
  <si>
    <t>청소선</t>
  </si>
  <si>
    <t>항해연습선</t>
  </si>
  <si>
    <t>해양조사선</t>
  </si>
  <si>
    <t>잔교</t>
  </si>
  <si>
    <t>승강기유지보수서비스</t>
  </si>
  <si>
    <t>데이터서비스</t>
  </si>
  <si>
    <t>데이터처리서비스</t>
  </si>
  <si>
    <t>우편발송서비스</t>
  </si>
  <si>
    <r>
      <t>우편발송서비스</t>
    </r>
    <r>
      <rPr>
        <sz val="8"/>
        <color rgb="FF000000"/>
        <rFont val="한양중고딕"/>
        <family val="3"/>
        <charset val="129"/>
      </rPr>
      <t>(</t>
    </r>
    <r>
      <rPr>
        <sz val="8"/>
        <color rgb="FF000000"/>
        <rFont val="맑은 고딕"/>
        <family val="3"/>
        <charset val="129"/>
        <scheme val="minor"/>
      </rPr>
      <t>데이터전산출력부분에한함</t>
    </r>
    <r>
      <rPr>
        <sz val="8"/>
        <color rgb="FF000000"/>
        <rFont val="한양중고딕"/>
        <family val="3"/>
        <charset val="129"/>
      </rPr>
      <t>)</t>
    </r>
  </si>
  <si>
    <t>정보시스템개발서비스</t>
  </si>
  <si>
    <t>빅데이터분석서비스</t>
  </si>
  <si>
    <t>패키지소프트웨어개발및도입서비스</t>
  </si>
  <si>
    <t>소프트웨어유지및지원서비스</t>
  </si>
  <si>
    <t>정보시스템유지관리서비스</t>
  </si>
  <si>
    <t>운영위탁서비스</t>
  </si>
  <si>
    <t>인터넷지원개발서비스</t>
  </si>
  <si>
    <t>정보인프라구축서비스</t>
  </si>
  <si>
    <t>전시장치설치서비스</t>
  </si>
  <si>
    <t>전시부스설치서비스</t>
  </si>
  <si>
    <t>전시홍보관설치서비스</t>
  </si>
  <si>
    <t>지질연구조사서비스</t>
  </si>
  <si>
    <t>측량용역</t>
  </si>
  <si>
    <t>동영상제작서비스</t>
  </si>
  <si>
    <t>기타행사기획및대행서비스</t>
  </si>
  <si>
    <t>전시회기획및대행서비스</t>
  </si>
  <si>
    <t>계약체결일로부터</t>
    <phoneticPr fontId="3" type="noConversion"/>
  </si>
  <si>
    <t xml:space="preserve"> 가. 물 품 명  :</t>
    <phoneticPr fontId="3" type="noConversion"/>
  </si>
  <si>
    <t xml:space="preserve"> 다. 예 산 액  :</t>
    <phoneticPr fontId="3" type="noConversion"/>
  </si>
  <si>
    <t xml:space="preserve"> 라. 구매범위(상세내역은 물품구매 물품규격서, 시방서 등 참조)</t>
    <phoneticPr fontId="3" type="noConversion"/>
  </si>
  <si>
    <t xml:space="preserve">  ※ 물품 설명은 없으며, 상세내역 열람으로 갈음</t>
    <phoneticPr fontId="3" type="noConversion"/>
  </si>
  <si>
    <t>종료일</t>
    <phoneticPr fontId="3" type="noConversion"/>
  </si>
  <si>
    <t>시작일</t>
    <phoneticPr fontId="3" type="noConversion"/>
  </si>
  <si>
    <t>시작시간</t>
    <phoneticPr fontId="3" type="noConversion"/>
  </si>
  <si>
    <t>종료시간</t>
    <phoneticPr fontId="3" type="noConversion"/>
  </si>
  <si>
    <t>~</t>
    <phoneticPr fontId="3" type="noConversion"/>
  </si>
  <si>
    <t>제한지역</t>
    <phoneticPr fontId="3" type="noConversion"/>
  </si>
  <si>
    <t>품명</t>
    <phoneticPr fontId="3" type="noConversion"/>
  </si>
  <si>
    <t>1. 계약법구분</t>
    <phoneticPr fontId="3" type="noConversion"/>
  </si>
  <si>
    <t>2. 공고번호</t>
    <phoneticPr fontId="3" type="noConversion"/>
  </si>
  <si>
    <t>3. 물품명</t>
    <phoneticPr fontId="3" type="noConversion"/>
  </si>
  <si>
    <t>4. 납품기간</t>
    <phoneticPr fontId="3" type="noConversion"/>
  </si>
  <si>
    <t>5. 예산액</t>
    <phoneticPr fontId="3" type="noConversion"/>
  </si>
  <si>
    <t>6. 전자견적서 제출기간</t>
    <phoneticPr fontId="3" type="noConversion"/>
  </si>
  <si>
    <t>7. 지역제한 여부</t>
    <phoneticPr fontId="3" type="noConversion"/>
  </si>
  <si>
    <t>8. 세부품명번호(10자리)</t>
    <phoneticPr fontId="3" type="noConversion"/>
  </si>
  <si>
    <t xml:space="preserve">5. 예정가격 및 계약상대자 결정방법 </t>
    <phoneticPr fontId="3" type="noConversion"/>
  </si>
  <si>
    <t>낙찰률</t>
    <phoneticPr fontId="3" type="noConversion"/>
  </si>
  <si>
    <t>6. 견적제출의 무효 및 취소</t>
    <phoneticPr fontId="3" type="noConversion"/>
  </si>
  <si>
    <t>7. 입찰보증금 납부 및 동 귀속</t>
    <phoneticPr fontId="3" type="noConversion"/>
  </si>
  <si>
    <t xml:space="preserve">  소액수의계약은 경쟁입찰이 아니므로 입찰보증금은 납부 받지 아니합니다.</t>
    <phoneticPr fontId="3" type="noConversion"/>
  </si>
  <si>
    <t>8. 청렴계약이행 서약서 제출</t>
    <phoneticPr fontId="3" type="noConversion"/>
  </si>
  <si>
    <t>9. 기타사항 및 추가정보 제공처</t>
    <phoneticPr fontId="3" type="noConversion"/>
  </si>
  <si>
    <t>9. 사업부서 담당자</t>
    <phoneticPr fontId="3" type="noConversion"/>
  </si>
  <si>
    <t>소속</t>
    <phoneticPr fontId="3" type="noConversion"/>
  </si>
  <si>
    <t>성명 및 직책</t>
    <phoneticPr fontId="3" type="noConversion"/>
  </si>
  <si>
    <t>연락처</t>
    <phoneticPr fontId="3" type="noConversion"/>
  </si>
  <si>
    <t>10. 계약담당자</t>
    <phoneticPr fontId="3" type="noConversion"/>
  </si>
  <si>
    <t>위와 같이 공고합니다.</t>
    <phoneticPr fontId="3" type="noConversion"/>
  </si>
  <si>
    <t>2. 견적 및 계약방식</t>
  </si>
  <si>
    <t xml:space="preserve"> 나. 적격심사 제외 대상입니다.</t>
    <phoneticPr fontId="3" type="noConversion"/>
  </si>
  <si>
    <t xml:space="preserve"> 다. 청렴계약이행 서약제 대상입니다.</t>
    <phoneticPr fontId="3" type="noConversion"/>
  </si>
  <si>
    <t xml:space="preserve"> 바. 개찰일시 및 장소    :</t>
    <phoneticPr fontId="3" type="noConversion"/>
  </si>
  <si>
    <t xml:space="preserve"> 나. 납품기간  :</t>
    <phoneticPr fontId="3" type="noConversion"/>
  </si>
  <si>
    <t xml:space="preserve"> 마. 견적금액은 반드시 부가가치세를 포함한 금액으로 제출하여야 하며 비영리법인 등 부가가치세 면제대상인 경우 
     견적금액에서 부가가치세를 차감한 금액을 계약금액으로 결정합니다.</t>
    <phoneticPr fontId="3" type="noConversion"/>
  </si>
  <si>
    <t>물품구매 소액수의 견적제출 공고</t>
    <phoneticPr fontId="3" type="noConversion"/>
  </si>
  <si>
    <t xml:space="preserve"> 마. 전자견적서 제출기간 :</t>
    <phoneticPr fontId="3" type="noConversion"/>
  </si>
  <si>
    <t xml:space="preserve"> 라. 전자견적서는 반드시 국가종합전자조달시스템(www.g2b.go.kr)의 전자입찰특별유의서에 따라 제출하여야 합니다. </t>
    <phoneticPr fontId="3" type="noConversion"/>
  </si>
  <si>
    <t xml:space="preserve"> 나. 입찰자가 전자입찰서를 제출한 후 전자입찰을 취소하고자 하는 경우, 반드시 전자조달시스템을 이용하여 공고문상
     개찰일시 이전까지 전자입찰취소신청서를 제출하여야 합니다.</t>
    <phoneticPr fontId="3" type="noConversion"/>
  </si>
  <si>
    <t xml:space="preserve"> 가. 견적참가자는 물품구매일반조건, 물품구매특수조건, 친환경상품구매특수조건 및 물품규격서 등 기타 견적에관한 
     모든 사항을 숙지하고 견적에 참가하여야 하며, 이를 숙지하지 못하여 발생한 책임은 견적자 본인에게 있습니다.
 나. 본 견적은 지문인식 신원확인 입찰이 적용되므로 개인인증서를 보유한 대표자  또는 입찰대리인은 국가종합전자
     조달시스템전자입찰특별유의서 제10조 제1항 제5호에 따라 미리 지문정보를 등록하여야 전자입찰서 제출이 
     가능합니다. 다만, 지문인식신원확인 입찰이 곤란한 자는 국가종합전자조달시스템전자입찰특별유의서 
     제10조 제1항 제6호 및 제7호의 절차에 따라 예외적으로 개인인증서에 의한 전자입찰서 제출이 가능합니다.
 다. 공단 직원이 금품 및 향응요구, 지위남용 등 부당한 요구를 할 경우 아래 연락처로 신고하여 주시기 바랍니다.
  - Keco 신문고 : 공단홈페이지(www.keco.or.kr)&gt;고객서비스&gt;Keco신문고
  - 부패신고센터 : 전화 032-590-3060  FAX  032-590-3069 
  - 부패신고센터 : 전화 032-590-3060  FAX  032-590-3069 
 라. 기타 문의사항
  - 전자입찰이용안내 : 국가종합전자조달시스템 콜센터(☏ 1588-0800)</t>
    <phoneticPr fontId="3" type="noConversion"/>
  </si>
  <si>
    <r>
      <t>3. 참가자격</t>
    </r>
    <r>
      <rPr>
        <sz val="14"/>
        <color rgb="FF000000"/>
        <rFont val="신명조"/>
        <family val="3"/>
        <charset val="129"/>
      </rPr>
      <t>(아래의 참가요건을 모두 충족하여야 합니다.)</t>
    </r>
    <phoneticPr fontId="3" type="noConversion"/>
  </si>
  <si>
    <t xml:space="preserve">     추첨(2개씩 선택)한 번호 중 가장 많이 선택된 4개의 예비가격을 산술 평균한 가격으로 결정하며,</t>
    <phoneticPr fontId="3" type="noConversion"/>
  </si>
  <si>
    <t xml:space="preserve">     예비가격기초금액은 전자견적서 제출개시일 전일까지 국가종합전자조달시스템에 게시합니다.</t>
    <phoneticPr fontId="3" type="noConversion"/>
  </si>
  <si>
    <t>목재덱</t>
  </si>
  <si>
    <r>
      <t xml:space="preserve">4. 공동도급 및 하도급 관련: </t>
    </r>
    <r>
      <rPr>
        <sz val="14"/>
        <color rgb="FF000000"/>
        <rFont val="신명조"/>
        <family val="3"/>
        <charset val="129"/>
      </rPr>
      <t>해당사항 없음(하도급 불가)</t>
    </r>
    <phoneticPr fontId="3" type="noConversion"/>
  </si>
  <si>
    <t>무기질비료및식물영양제</t>
  </si>
  <si>
    <t>광물</t>
  </si>
  <si>
    <t>석재</t>
  </si>
  <si>
    <t>성형목재제품</t>
  </si>
  <si>
    <t>모직물</t>
  </si>
  <si>
    <t>합섬직물</t>
  </si>
  <si>
    <t>필름</t>
  </si>
  <si>
    <t>인쇄용지및필기용지</t>
  </si>
  <si>
    <t>혁신용지</t>
  </si>
  <si>
    <t>일반종이제품</t>
  </si>
  <si>
    <t>업무용지</t>
  </si>
  <si>
    <t>신문용지및오프셋용지</t>
  </si>
  <si>
    <t>토지관리농기계</t>
  </si>
  <si>
    <t>수확용농업기계</t>
  </si>
  <si>
    <t>농업용분사및분무장치</t>
  </si>
  <si>
    <t>축산용기기</t>
  </si>
  <si>
    <t>농업용세정분류및선별기</t>
  </si>
  <si>
    <t>음식물준비기</t>
  </si>
  <si>
    <t>음식물처리기류</t>
  </si>
  <si>
    <t>쾌속조형기</t>
  </si>
  <si>
    <t>3차원프린터</t>
  </si>
  <si>
    <t>청정실환경조절장비</t>
  </si>
  <si>
    <t>리프트장비및액세서리</t>
  </si>
  <si>
    <t>컨베이어및액세서리</t>
  </si>
  <si>
    <t>포장도구</t>
  </si>
  <si>
    <t>자루</t>
  </si>
  <si>
    <t>탱크및원통형저장소</t>
  </si>
  <si>
    <t>저장용기,캐비닛및트렁크</t>
  </si>
  <si>
    <t>유통용골판및기타용품</t>
  </si>
  <si>
    <t>팰릿</t>
  </si>
  <si>
    <t>병</t>
  </si>
  <si>
    <t>산업용냉장기</t>
  </si>
  <si>
    <t>안전및소방차량</t>
  </si>
  <si>
    <t>상선</t>
  </si>
  <si>
    <t>안전및구조용선박</t>
  </si>
  <si>
    <t>군용선박</t>
  </si>
  <si>
    <t>휴양용선박</t>
  </si>
  <si>
    <t>특수선박</t>
  </si>
  <si>
    <t>특수항공기</t>
  </si>
  <si>
    <t>신호제어및보안설비</t>
  </si>
  <si>
    <t>발전기류</t>
  </si>
  <si>
    <t>배터리,전지및보조용품</t>
  </si>
  <si>
    <t>전력선</t>
  </si>
  <si>
    <t>300/500V기기배선용단심비닐절연전선</t>
  </si>
  <si>
    <t>옥외용절연전선</t>
  </si>
  <si>
    <t>기둥</t>
  </si>
  <si>
    <t>금속기둥</t>
  </si>
  <si>
    <t>그레이팅</t>
  </si>
  <si>
    <t>목재건자재</t>
  </si>
  <si>
    <t>골재</t>
  </si>
  <si>
    <t>콘크리트및모르타르</t>
  </si>
  <si>
    <t>콘크리트보강철물</t>
  </si>
  <si>
    <t>아스팔트류</t>
  </si>
  <si>
    <t>도로및철도건설자재</t>
  </si>
  <si>
    <t>조경용재</t>
  </si>
  <si>
    <t>특수바닥포장재</t>
  </si>
  <si>
    <t>블록</t>
  </si>
  <si>
    <t>벽돌</t>
  </si>
  <si>
    <t>타일및판석</t>
  </si>
  <si>
    <t>지붕재료</t>
  </si>
  <si>
    <t>외벽용재료</t>
  </si>
  <si>
    <t>금속제패널</t>
  </si>
  <si>
    <t>마무리재료및제품</t>
  </si>
  <si>
    <t>울타리재료및제품</t>
  </si>
  <si>
    <t>YL형울타리</t>
  </si>
  <si>
    <t>금속제기타울타리</t>
  </si>
  <si>
    <t>외부바닥재료</t>
  </si>
  <si>
    <t>바닥재</t>
  </si>
  <si>
    <t>문</t>
  </si>
  <si>
    <t>목제문</t>
  </si>
  <si>
    <t>창문</t>
  </si>
  <si>
    <t>문틀</t>
  </si>
  <si>
    <t>위생도기</t>
  </si>
  <si>
    <t>화장실칸막이</t>
  </si>
  <si>
    <t>기타건설및시설운용자재</t>
  </si>
  <si>
    <t>상업및산업용조립건물</t>
  </si>
  <si>
    <t>상업및오락용건물</t>
  </si>
  <si>
    <t>운송건물</t>
  </si>
  <si>
    <t>이동식상용맟산업용조립구조물</t>
  </si>
  <si>
    <t>로프</t>
  </si>
  <si>
    <t>고정장치</t>
  </si>
  <si>
    <t>금속망</t>
  </si>
  <si>
    <t>페인트및전처리제</t>
  </si>
  <si>
    <t>각종등</t>
  </si>
  <si>
    <t>LED램프</t>
  </si>
  <si>
    <t>옥내조명및설비</t>
  </si>
  <si>
    <t>LED다운라이트</t>
  </si>
  <si>
    <t>옥외조명설비공사</t>
  </si>
  <si>
    <t>LED가로등기구</t>
  </si>
  <si>
    <t>LED터널용등기구</t>
  </si>
  <si>
    <t>LED경관조명기구</t>
  </si>
  <si>
    <t>LED보안등기구</t>
  </si>
  <si>
    <t>LED투광등기구</t>
  </si>
  <si>
    <t>조명용악세서리</t>
  </si>
  <si>
    <t>이동식및임시용조명및액세서리</t>
  </si>
  <si>
    <t>광학조명</t>
  </si>
  <si>
    <t>LED실내조명등</t>
  </si>
  <si>
    <t>동력조절장비</t>
  </si>
  <si>
    <t>전지형에너지저장장치</t>
  </si>
  <si>
    <t>배전,조정장치및액세서리</t>
  </si>
  <si>
    <t>인텔리전트빌딩설비</t>
  </si>
  <si>
    <t>배선관로및버스웨이</t>
  </si>
  <si>
    <t>공기순환장치및액세서리</t>
  </si>
  <si>
    <t>공기순환기</t>
  </si>
  <si>
    <t>냉방장치</t>
  </si>
  <si>
    <t>난방기구및액세서리</t>
  </si>
  <si>
    <t>습도조절장치</t>
  </si>
  <si>
    <t>보일러</t>
  </si>
  <si>
    <t>밸브</t>
  </si>
  <si>
    <t>배관금속부품및설비</t>
  </si>
  <si>
    <t>관류</t>
  </si>
  <si>
    <t>진동전압철근콘크리트관</t>
  </si>
  <si>
    <t>관이음자재</t>
  </si>
  <si>
    <t>신축관이음</t>
  </si>
  <si>
    <t>펌프류</t>
  </si>
  <si>
    <t>필터류</t>
  </si>
  <si>
    <t>공기여과기</t>
  </si>
  <si>
    <t>정화장치</t>
  </si>
  <si>
    <t>분리기</t>
  </si>
  <si>
    <t>관연결자재</t>
  </si>
  <si>
    <t>실험용세척및청소장비</t>
  </si>
  <si>
    <t>실험실용환경조절장치</t>
  </si>
  <si>
    <t>실험용환기장치및액세서리</t>
  </si>
  <si>
    <t>실험실용용수정화장비및용품</t>
  </si>
  <si>
    <t>실험용가열로및액세서리</t>
  </si>
  <si>
    <t>실혐실용전기로</t>
  </si>
  <si>
    <t>식물연구장비및액세서리</t>
  </si>
  <si>
    <t>압력측정및제어용기기</t>
  </si>
  <si>
    <t>유체측정용기기</t>
  </si>
  <si>
    <t>전기계측기</t>
  </si>
  <si>
    <t>급성질환자모니터링장치및관련제품</t>
  </si>
  <si>
    <t>환자감시장치</t>
  </si>
  <si>
    <t>고압증기멸균기,살균기기및액세서리</t>
  </si>
  <si>
    <t>개인통신장치</t>
  </si>
  <si>
    <t>매체저장장치</t>
  </si>
  <si>
    <t>컴퓨터</t>
  </si>
  <si>
    <t>콜매니지먼트시스템 또는 액세서리</t>
  </si>
  <si>
    <t>고정네트워크장비및부품</t>
  </si>
  <si>
    <t>광네트워크장치</t>
  </si>
  <si>
    <t>네트워크서비스장비</t>
  </si>
  <si>
    <t>마을무선방송장치</t>
  </si>
  <si>
    <t>전화장비</t>
  </si>
  <si>
    <t>주파수분할다중화장치</t>
  </si>
  <si>
    <t>인쇄기,팩스및복사기공급용품</t>
  </si>
  <si>
    <t>칠판</t>
  </si>
  <si>
    <t>게시판또는악세사리</t>
  </si>
  <si>
    <t>일정관리용품</t>
  </si>
  <si>
    <t>우편용품</t>
  </si>
  <si>
    <t>창봉투</t>
  </si>
  <si>
    <t>영사기및소모품</t>
  </si>
  <si>
    <t>오디오프레젠테이션및창작장비하드웨어및컨트롤러</t>
  </si>
  <si>
    <t>복합영상장비및콘트롤러</t>
  </si>
  <si>
    <t>교통통제장비</t>
  </si>
  <si>
    <t>보행신호음성안내보조장치</t>
  </si>
  <si>
    <t>도로안전표시판지주</t>
  </si>
  <si>
    <t>감시및탐지장비</t>
  </si>
  <si>
    <t>보호용의류</t>
  </si>
  <si>
    <t>안전용덧옷</t>
  </si>
  <si>
    <t>정화기기및안전청결장비</t>
  </si>
  <si>
    <t>개인보호장비또는무기</t>
  </si>
  <si>
    <t>화재진압장비</t>
  </si>
  <si>
    <t>수처리및공급장비</t>
  </si>
  <si>
    <t>용수처리용품</t>
  </si>
  <si>
    <t>폴리염화알루미늄</t>
  </si>
  <si>
    <t>용수처리및공급장비</t>
  </si>
  <si>
    <t>쓰레기용기및액세서리</t>
  </si>
  <si>
    <t xml:space="preserve">  </t>
  </si>
  <si>
    <t>업용조리기기</t>
  </si>
  <si>
    <t>상업용식료품가공기기</t>
  </si>
  <si>
    <t>상업용식음료품조제기기</t>
  </si>
  <si>
    <t>상업용취사도구및주방기구</t>
  </si>
  <si>
    <t>식당용가구</t>
  </si>
  <si>
    <t>캠핑용품</t>
  </si>
  <si>
    <t>천막용방수포</t>
  </si>
  <si>
    <t>유산소운동기구</t>
  </si>
  <si>
    <t>근력강화용헬스기구</t>
  </si>
  <si>
    <t>야외운동기구</t>
  </si>
  <si>
    <t>스포츠액세서리</t>
  </si>
  <si>
    <t>운동장및놀이터용장비</t>
  </si>
  <si>
    <t>기타조경시설물</t>
  </si>
  <si>
    <t>가공육류및조리육류</t>
  </si>
  <si>
    <t>불고기패티</t>
  </si>
  <si>
    <t>신선또는냉동한어류및어류부산물</t>
  </si>
  <si>
    <t>어육가공품</t>
  </si>
  <si>
    <t>해조류</t>
  </si>
  <si>
    <t>각종소스류</t>
  </si>
  <si>
    <t>요리용 소스</t>
  </si>
  <si>
    <t>장류</t>
  </si>
  <si>
    <t>간장</t>
  </si>
  <si>
    <t>고추장</t>
  </si>
  <si>
    <t>된장</t>
  </si>
  <si>
    <t>빵,비스킷및쿠키</t>
  </si>
  <si>
    <t>파스타및면류</t>
  </si>
  <si>
    <t>면류</t>
  </si>
  <si>
    <t>김치</t>
  </si>
  <si>
    <t>통조림또는김치</t>
  </si>
  <si>
    <t>배추김치</t>
  </si>
  <si>
    <t>침구류</t>
  </si>
  <si>
    <t>이불</t>
  </si>
  <si>
    <t>커튼및긴커튼</t>
  </si>
  <si>
    <t>블라인드및차양</t>
  </si>
  <si>
    <t>버티칼블라인드</t>
  </si>
  <si>
    <t>기타분류가안된가정용소품</t>
  </si>
  <si>
    <t>국방규격, 경찰규격</t>
  </si>
  <si>
    <t>구급대,수통피,야전삽피,탄입대류</t>
  </si>
  <si>
    <t>기동,총포,통신일반장비카바류</t>
  </si>
  <si>
    <t>가정용주방용구</t>
  </si>
  <si>
    <t>가정용식기류</t>
  </si>
  <si>
    <t>설거지및식기수납보조용품</t>
  </si>
  <si>
    <t>스웨터</t>
  </si>
  <si>
    <t>코트및재킷</t>
  </si>
  <si>
    <t>속옷</t>
  </si>
  <si>
    <t>양말류</t>
  </si>
  <si>
    <t>의류액세서리</t>
  </si>
  <si>
    <t>유니폼</t>
  </si>
  <si>
    <t>전투복</t>
  </si>
  <si>
    <t>군용근무복</t>
  </si>
  <si>
    <t>군용정복</t>
  </si>
  <si>
    <t>군용비행복</t>
  </si>
  <si>
    <t>군용외투</t>
  </si>
  <si>
    <t>군용전투조끼</t>
  </si>
  <si>
    <t>운동복</t>
  </si>
  <si>
    <t>여행가방</t>
  </si>
  <si>
    <t>지갑,핸드백및일반백</t>
  </si>
  <si>
    <t>사무용가방</t>
  </si>
  <si>
    <t>휴대용시계</t>
  </si>
  <si>
    <t>인쇄출판물</t>
  </si>
  <si>
    <t>라벨</t>
  </si>
  <si>
    <t>일반인쇄스티커</t>
  </si>
  <si>
    <t>실사출력인쇄스티커</t>
  </si>
  <si>
    <t>신호표지</t>
  </si>
  <si>
    <t>갈매기표지판</t>
  </si>
  <si>
    <t>안내판</t>
  </si>
  <si>
    <t>표식장비</t>
  </si>
  <si>
    <t>가구</t>
  </si>
  <si>
    <t>접의식의자</t>
  </si>
  <si>
    <t>옥외용가구</t>
  </si>
  <si>
    <t>사무용가구</t>
  </si>
  <si>
    <t>패널시스템</t>
  </si>
  <si>
    <t>사무실</t>
  </si>
  <si>
    <t>칸막이</t>
  </si>
  <si>
    <t>산업가구</t>
  </si>
  <si>
    <t>좌석</t>
  </si>
  <si>
    <t>도서관가구</t>
  </si>
  <si>
    <t>카페테리아및간이식당설비</t>
  </si>
  <si>
    <t>교실용가구</t>
  </si>
  <si>
    <t>직업교육시설및설비</t>
  </si>
  <si>
    <t>전시용가구</t>
  </si>
  <si>
    <t>연구실용가구</t>
  </si>
  <si>
    <t>에너지및힘,물리학교재</t>
  </si>
  <si>
    <t>직업교육자료</t>
  </si>
  <si>
    <t>기술교육자료</t>
  </si>
  <si>
    <t>전자공학교육장비및용품</t>
  </si>
  <si>
    <t>멀티미디어학습시스템및용품</t>
  </si>
  <si>
    <t>학습교구</t>
  </si>
  <si>
    <t>교육훈련장비및용품</t>
  </si>
  <si>
    <t>예술품</t>
  </si>
  <si>
    <t>특수건물및전문시공용역</t>
  </si>
  <si>
    <t>일반건물및사무실청소업</t>
  </si>
  <si>
    <t>판매및판촉활동</t>
  </si>
  <si>
    <t>무역전시회</t>
  </si>
  <si>
    <t>토목공학</t>
  </si>
  <si>
    <t>유수율제고서비스</t>
  </si>
  <si>
    <t>소프트웨어엔지니어링업</t>
  </si>
  <si>
    <t>경영정보시스템</t>
  </si>
  <si>
    <t>시스템관리</t>
  </si>
  <si>
    <t>인터넷서비스</t>
  </si>
  <si>
    <t>소프트웨어유지및지원</t>
  </si>
  <si>
    <t>지도작성법</t>
  </si>
  <si>
    <t>공간정보DB구축서비스</t>
  </si>
  <si>
    <t>지질학</t>
  </si>
  <si>
    <t>사진사및촬영사</t>
  </si>
  <si>
    <t>사육제및박람회</t>
  </si>
  <si>
    <t>축제기획및대행서비스</t>
  </si>
  <si>
    <t>경계서비스</t>
  </si>
  <si>
    <t>환경서비스지원부</t>
    <phoneticPr fontId="3" type="noConversion"/>
  </si>
  <si>
    <t>한국환경공단 수도권서부환경본부 계약담당</t>
  </si>
  <si>
    <t xml:space="preserve">  견적에 참여한 자는 모두 청렴계약이행을 위한 입찰특별유의서 제2조 제1항에 따라 청렴계약이행서약서를 
  제출한 것으로 간주합니다.</t>
    <phoneticPr fontId="3" type="noConversion"/>
  </si>
  <si>
    <t>까지</t>
  </si>
  <si>
    <r>
      <rPr>
        <sz val="13"/>
        <color theme="1"/>
        <rFont val="맑은 고딕"/>
        <family val="3"/>
        <charset val="129"/>
      </rPr>
      <t xml:space="preserve">       </t>
    </r>
    <r>
      <rPr>
        <sz val="13"/>
        <color theme="1"/>
        <rFont val="신명조"/>
        <family val="3"/>
        <charset val="129"/>
      </rPr>
      <t>「중소기업 범위 및 확인에 관한 규정」에 따라 발급된 소기업</t>
    </r>
    <r>
      <rPr>
        <sz val="13"/>
        <color theme="1"/>
        <rFont val="Calibri"/>
        <family val="3"/>
      </rPr>
      <t>·</t>
    </r>
    <r>
      <rPr>
        <sz val="13"/>
        <color theme="1"/>
        <rFont val="신명조"/>
        <family val="3"/>
        <charset val="129"/>
      </rPr>
      <t xml:space="preserve">소상공인확인서(전자입찰서 제출마감일 전일까지 </t>
    </r>
    <phoneticPr fontId="3" type="noConversion"/>
  </si>
  <si>
    <r>
      <rPr>
        <sz val="13"/>
        <color theme="1"/>
        <rFont val="맑은 고딕"/>
        <family val="3"/>
        <charset val="129"/>
      </rPr>
      <t xml:space="preserve">         </t>
    </r>
    <r>
      <rPr>
        <sz val="13"/>
        <color theme="1"/>
        <rFont val="신명조"/>
        <family val="3"/>
        <charset val="129"/>
      </rPr>
      <t>발급된</t>
    </r>
    <r>
      <rPr>
        <sz val="13"/>
        <color theme="1"/>
        <rFont val="맑은 고딕"/>
        <family val="3"/>
        <charset val="129"/>
      </rPr>
      <t xml:space="preserve"> </t>
    </r>
    <r>
      <rPr>
        <sz val="13"/>
        <color theme="1"/>
        <rFont val="신명조"/>
        <family val="3"/>
        <charset val="129"/>
      </rPr>
      <t>것으로 유효기간내 있어야 함)를 소지한 업체</t>
    </r>
    <phoneticPr fontId="3" type="noConversion"/>
  </si>
  <si>
    <r>
      <rPr>
        <sz val="13"/>
        <color theme="1"/>
        <rFont val="맑은 고딕"/>
        <family val="3"/>
        <charset val="129"/>
      </rPr>
      <t xml:space="preserve">       </t>
    </r>
    <r>
      <rPr>
        <sz val="13"/>
        <color theme="1"/>
        <rFont val="신명조"/>
        <family val="3"/>
        <charset val="129"/>
      </rPr>
      <t>「중소기업기본법」제2조에 따른 소기업 또는「소상공인 보호 및 지원에 관한 법률」제2조에 따른 소상공인으로서</t>
    </r>
    <phoneticPr fontId="3" type="noConversion"/>
  </si>
  <si>
    <r>
      <t>※ &lt;소기업</t>
    </r>
    <r>
      <rPr>
        <sz val="12"/>
        <color theme="1"/>
        <rFont val="MS Gothic"/>
        <family val="3"/>
        <charset val="128"/>
      </rPr>
      <t>․</t>
    </r>
    <r>
      <rPr>
        <sz val="12"/>
        <color theme="1"/>
        <rFont val="신명조"/>
        <family val="3"/>
        <charset val="129"/>
      </rPr>
      <t xml:space="preserve">소상공인확인서&gt;는 중소기업공공구매 종합정보망에서 확인되지 않을 경우 입찰참가자격이 없습니다. 
※「중소기업제품 구매촉진 및 판로지원에 관한 법률시행령」제2조의3 제2호에 해당하는 비영리법인은 입찰참여 가능합니다. </t>
    </r>
    <phoneticPr fontId="3" type="noConversion"/>
  </si>
  <si>
    <t xml:space="preserve"> </t>
    <phoneticPr fontId="3" type="noConversion"/>
  </si>
  <si>
    <r>
      <t xml:space="preserve"> </t>
    </r>
    <r>
      <rPr>
        <sz val="13"/>
        <color theme="1"/>
        <rFont val="맑은 고딕"/>
        <family val="3"/>
        <charset val="129"/>
      </rPr>
      <t>나</t>
    </r>
    <r>
      <rPr>
        <sz val="13"/>
        <color theme="1"/>
        <rFont val="신명조"/>
        <family val="3"/>
      </rPr>
      <t>.</t>
    </r>
    <r>
      <rPr>
        <sz val="13"/>
        <color theme="1"/>
        <rFont val="신명조"/>
        <family val="3"/>
        <charset val="129"/>
      </rPr>
      <t xml:space="preserve"> 「국가종합전자조달시스템 입찰참가자격등록규정」에 의하여 국가종합전자조달시스템에 입찰참가자격 </t>
    </r>
    <phoneticPr fontId="3" type="noConversion"/>
  </si>
  <si>
    <t>1. 견적에 부치는 사항</t>
    <phoneticPr fontId="3" type="noConversion"/>
  </si>
  <si>
    <t xml:space="preserve"> </t>
    <phoneticPr fontId="3" type="noConversion"/>
  </si>
  <si>
    <t xml:space="preserve">* 녹색부분만 입력 </t>
    <phoneticPr fontId="3" type="noConversion"/>
  </si>
  <si>
    <r>
      <t>ㆍ우리공단은 청렴계약 실효성 확보를 위한 입찰담합방지책으로 손해배상제도를 시행하고 있으니 유의하여 주시기 바랍니다.
ㆍ관련자료는 한국환경공단 홈페이지(www.keco.or.kr) 입찰정보/집행기준</t>
    </r>
    <r>
      <rPr>
        <sz val="12"/>
        <color rgb="FF0000FF"/>
        <rFont val="맑은 고딕"/>
        <family val="3"/>
        <charset val="129"/>
        <scheme val="major"/>
      </rPr>
      <t xml:space="preserve"> </t>
    </r>
    <r>
      <rPr>
        <sz val="12"/>
        <color rgb="FF0000FF"/>
        <rFont val="신명조"/>
        <family val="3"/>
        <charset val="129"/>
      </rPr>
      <t>(공정경쟁 및 청렴계약입찰특별유의서, 공정경쟁 및 청렴계약 특수조건)에서 열람 및 다운받을 수 있습니다.</t>
    </r>
    <phoneticPr fontId="3" type="noConversion"/>
  </si>
  <si>
    <t>02-3153-5410</t>
    <phoneticPr fontId="3" type="noConversion"/>
  </si>
  <si>
    <r>
      <t xml:space="preserve"> 가. 소액수의(총액, 전자) 대상 </t>
    </r>
    <r>
      <rPr>
        <sz val="13"/>
        <color rgb="FF000000"/>
        <rFont val="맑은 고딕"/>
        <family val="3"/>
        <charset val="129"/>
      </rPr>
      <t>물품</t>
    </r>
    <r>
      <rPr>
        <sz val="13"/>
        <color rgb="FF000000"/>
        <rFont val="신명조"/>
        <family val="3"/>
        <charset val="129"/>
      </rPr>
      <t>입니다.</t>
    </r>
    <phoneticPr fontId="3" type="noConversion"/>
  </si>
  <si>
    <t>미제한</t>
  </si>
  <si>
    <t>시설사업1부</t>
    <phoneticPr fontId="3" type="noConversion"/>
  </si>
  <si>
    <t>파주 법원관로 설치 및 문산총인 증설사업 관급자재(혼합골재) 구매</t>
    <phoneticPr fontId="3" type="noConversion"/>
  </si>
  <si>
    <t>031-959-9097</t>
    <phoneticPr fontId="3" type="noConversion"/>
  </si>
  <si>
    <t>2022-07-25(09:00)</t>
    <phoneticPr fontId="3" type="noConversion"/>
  </si>
  <si>
    <t>2022-07-27(10:00)</t>
    <phoneticPr fontId="3" type="noConversion"/>
  </si>
  <si>
    <t>2022-07-27(11:00)</t>
    <phoneticPr fontId="3" type="noConversion"/>
  </si>
  <si>
    <t>2022-43</t>
    <phoneticPr fontId="3" type="noConversion"/>
  </si>
  <si>
    <t xml:space="preserve">000 주임 </t>
    <phoneticPr fontId="3" type="noConversion"/>
  </si>
  <si>
    <t>000 감독</t>
    <phoneticPr fontId="3" type="noConversion"/>
  </si>
  <si>
    <t>국가계약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</si>
</sst>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quot;개&quot;&quot;찰&quot;&quot;시&quot;&quot;간&quot;"/>
    <numFmt numFmtId="177" formatCode="yyyy&quot;년&quot;\ m&quot;월&quot;;@"/>
  </numFmts>
  <fonts count="26">
    <font>
      <sz val="11"/>
      <color theme="1"/>
      <name val="맑은 고딕"/>
      <family val="2"/>
      <charset val="129"/>
      <scheme val="minor"/>
    </font>
    <font>
      <sz val="11"/>
      <color theme="1"/>
      <name val="맑은 고딕"/>
      <family val="2"/>
      <charset val="129"/>
      <scheme val="minor"/>
    </font>
    <font>
      <sz val="11"/>
      <color theme="0"/>
      <name val="맑은 고딕"/>
      <family val="2"/>
      <charset val="129"/>
      <scheme val="minor"/>
    </font>
    <font>
      <sz val="8"/>
      <name val="맑은 고딕"/>
      <family val="2"/>
      <charset val="129"/>
      <scheme val="minor"/>
    </font>
    <font>
      <sz val="8"/>
      <color rgb="FF000000"/>
      <name val="맑은 고딕"/>
      <family val="3"/>
      <charset val="129"/>
      <scheme val="minor"/>
    </font>
    <font>
      <sz val="8"/>
      <color rgb="FF000000"/>
      <name val="한양중고딕"/>
      <family val="3"/>
      <charset val="129"/>
    </font>
    <font>
      <b/>
      <sz val="12"/>
      <color rgb="FF000000"/>
      <name val="신명조"/>
      <family val="3"/>
      <charset val="129"/>
    </font>
    <font>
      <sz val="12"/>
      <color rgb="FF000000"/>
      <name val="신명조"/>
      <family val="3"/>
      <charset val="129"/>
    </font>
    <font>
      <sz val="12"/>
      <color theme="1"/>
      <name val="신명조"/>
      <family val="3"/>
      <charset val="129"/>
    </font>
    <font>
      <sz val="12"/>
      <color rgb="FF0000FF"/>
      <name val="신명조"/>
      <family val="3"/>
      <charset val="129"/>
    </font>
    <font>
      <b/>
      <sz val="14"/>
      <color theme="1"/>
      <name val="신명조"/>
      <family val="3"/>
      <charset val="129"/>
    </font>
    <font>
      <b/>
      <sz val="18"/>
      <color theme="1"/>
      <name val="신명조"/>
      <family val="3"/>
      <charset val="129"/>
    </font>
    <font>
      <b/>
      <sz val="14"/>
      <color rgb="FF000000"/>
      <name val="신명조"/>
      <family val="3"/>
      <charset val="129"/>
    </font>
    <font>
      <sz val="14"/>
      <color rgb="FF000000"/>
      <name val="신명조"/>
      <family val="3"/>
      <charset val="129"/>
    </font>
    <font>
      <b/>
      <sz val="14"/>
      <name val="신명조"/>
      <family val="3"/>
      <charset val="129"/>
    </font>
    <font>
      <b/>
      <sz val="22"/>
      <color rgb="FF000000"/>
      <name val="신명조"/>
      <family val="3"/>
      <charset val="129"/>
    </font>
    <font>
      <sz val="13"/>
      <color rgb="FF000000"/>
      <name val="신명조"/>
      <family val="3"/>
      <charset val="129"/>
    </font>
    <font>
      <sz val="13"/>
      <color theme="1"/>
      <name val="신명조"/>
      <family val="3"/>
      <charset val="129"/>
    </font>
    <font>
      <sz val="13"/>
      <name val="신명조"/>
      <family val="3"/>
      <charset val="129"/>
    </font>
    <font>
      <sz val="13"/>
      <color theme="1"/>
      <name val="맑은 고딕"/>
      <family val="3"/>
      <charset val="129"/>
    </font>
    <font>
      <sz val="13"/>
      <color theme="1"/>
      <name val="Calibri"/>
      <family val="3"/>
    </font>
    <font>
      <sz val="12"/>
      <color theme="1"/>
      <name val="MS Gothic"/>
      <family val="3"/>
      <charset val="128"/>
    </font>
    <font>
      <sz val="12"/>
      <color theme="1"/>
      <name val="맑은 고딕"/>
      <family val="3"/>
      <charset val="129"/>
    </font>
    <font>
      <sz val="13"/>
      <color theme="1"/>
      <name val="신명조"/>
      <family val="3"/>
    </font>
    <font>
      <sz val="12"/>
      <color rgb="FF0000FF"/>
      <name val="맑은 고딕"/>
      <family val="3"/>
      <charset val="129"/>
      <scheme val="major"/>
    </font>
    <font>
      <sz val="13"/>
      <color rgb="FF000000"/>
      <name val="맑은 고딕"/>
      <family val="3"/>
      <charset val="129"/>
    </font>
  </fonts>
  <fills count="4">
    <fill>
      <patternFill patternType="none"/>
    </fill>
    <fill>
      <patternFill patternType="gray125"/>
    </fill>
    <fill>
      <patternFill patternType="solid">
        <fgColor theme="6" tint="0.39994506668294322"/>
        <bgColor indexed="64"/>
      </patternFill>
    </fill>
    <fill>
      <patternFill patternType="solid">
        <fgColor theme="6" tint="0.39997558519241921"/>
        <bgColor indexed="64"/>
      </patternFill>
    </fill>
  </fills>
  <borders count="33">
    <border>
      <left/>
      <right/>
      <top/>
      <bottom/>
      <diagonal/>
    </border>
    <border>
      <left/>
      <right style="thin">
        <color rgb="FF000000"/>
      </right>
      <top style="double">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hair">
        <color auto="1"/>
      </left>
      <right style="hair">
        <color auto="1"/>
      </right>
      <top style="hair">
        <color auto="1"/>
      </top>
      <bottom style="hair">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right style="hair">
        <color auto="1"/>
      </right>
      <top style="hair">
        <color auto="1"/>
      </top>
      <bottom/>
      <diagonal/>
    </border>
    <border>
      <left/>
      <right style="hair">
        <color auto="1"/>
      </right>
      <top/>
      <bottom style="hair">
        <color auto="1"/>
      </bottom>
      <diagonal/>
    </border>
    <border>
      <left/>
      <right style="thin">
        <color rgb="FF000000"/>
      </right>
      <top style="double">
        <color rgb="FF000000"/>
      </top>
      <bottom/>
      <diagonal/>
    </border>
  </borders>
  <cellStyleXfs count="2">
    <xf numFmtId="0" fontId="0" fillId="0" borderId="0">
      <alignment vertical="center"/>
    </xf>
    <xf numFmtId="41" fontId="1" fillId="0" borderId="0" applyFont="0" applyFill="0" applyBorder="0" applyAlignment="0" applyProtection="0">
      <alignment vertical="center"/>
    </xf>
  </cellStyleXfs>
  <cellXfs count="105">
    <xf numFmtId="0" fontId="0" fillId="0" borderId="0" xfId="0">
      <alignment vertical="center"/>
    </xf>
    <xf numFmtId="0" fontId="5" fillId="0" borderId="1" xfId="0" applyFont="1" applyBorder="1" applyAlignment="1">
      <alignment horizontal="center" vertical="center" wrapText="1"/>
    </xf>
    <xf numFmtId="0" fontId="4" fillId="0" borderId="1" xfId="0" applyFont="1" applyBorder="1" applyAlignment="1">
      <alignment horizontal="justify" vertical="center" wrapText="1"/>
    </xf>
    <xf numFmtId="0" fontId="4" fillId="0" borderId="2" xfId="0" applyFont="1" applyBorder="1" applyAlignment="1">
      <alignment horizontal="justify" vertical="center" wrapText="1"/>
    </xf>
    <xf numFmtId="0" fontId="5" fillId="0" borderId="2" xfId="0" applyFont="1" applyBorder="1" applyAlignment="1">
      <alignment horizontal="justify" vertical="center" wrapText="1"/>
    </xf>
    <xf numFmtId="0" fontId="5" fillId="0" borderId="5" xfId="0" applyFont="1" applyBorder="1" applyAlignment="1">
      <alignment horizontal="center" vertical="center" wrapText="1"/>
    </xf>
    <xf numFmtId="0" fontId="4" fillId="0" borderId="5" xfId="0" applyFont="1" applyBorder="1" applyAlignment="1">
      <alignment horizontal="justify" vertical="center" wrapText="1"/>
    </xf>
    <xf numFmtId="0" fontId="4" fillId="0" borderId="2" xfId="0" applyFont="1" applyBorder="1" applyAlignment="1">
      <alignment horizontal="center" vertical="center" wrapText="1"/>
    </xf>
    <xf numFmtId="0" fontId="4" fillId="0" borderId="6" xfId="0" applyFont="1" applyBorder="1" applyAlignment="1">
      <alignment horizontal="justify" vertical="center" wrapText="1"/>
    </xf>
    <xf numFmtId="0" fontId="4" fillId="0" borderId="5" xfId="0" applyFont="1" applyBorder="1" applyAlignment="1">
      <alignment horizontal="center" vertical="center" wrapText="1"/>
    </xf>
    <xf numFmtId="0" fontId="5" fillId="0" borderId="5" xfId="0" applyFont="1" applyBorder="1" applyAlignment="1">
      <alignment horizontal="justify" vertical="center" wrapText="1"/>
    </xf>
    <xf numFmtId="0" fontId="5" fillId="0" borderId="7" xfId="0" applyFont="1" applyBorder="1" applyAlignment="1">
      <alignment horizontal="center" vertical="center" wrapText="1"/>
    </xf>
    <xf numFmtId="0" fontId="4" fillId="0" borderId="7" xfId="0" applyFont="1" applyBorder="1" applyAlignment="1">
      <alignment horizontal="justify" vertical="center" wrapText="1"/>
    </xf>
    <xf numFmtId="176" fontId="2" fillId="0" borderId="0" xfId="1" applyNumberFormat="1" applyFont="1" applyAlignment="1">
      <alignment horizontal="center" vertical="center"/>
    </xf>
    <xf numFmtId="20" fontId="2" fillId="0" borderId="0" xfId="0" applyNumberFormat="1" applyFont="1" applyAlignment="1">
      <alignment horizontal="center" vertical="center"/>
    </xf>
    <xf numFmtId="0" fontId="0" fillId="0" borderId="10" xfId="0" applyBorder="1">
      <alignment vertical="center"/>
    </xf>
    <xf numFmtId="0" fontId="0" fillId="3" borderId="10" xfId="0" applyFill="1" applyBorder="1">
      <alignment vertical="center"/>
    </xf>
    <xf numFmtId="0" fontId="0" fillId="2" borderId="10" xfId="0" applyFill="1" applyBorder="1">
      <alignment vertical="center"/>
    </xf>
    <xf numFmtId="41" fontId="0" fillId="2" borderId="10" xfId="1" applyFont="1" applyFill="1" applyBorder="1">
      <alignment vertical="center"/>
    </xf>
    <xf numFmtId="0" fontId="0" fillId="0" borderId="10" xfId="0" applyBorder="1" applyAlignment="1">
      <alignment horizontal="center" vertical="center"/>
    </xf>
    <xf numFmtId="0" fontId="0" fillId="2" borderId="10" xfId="0" applyFill="1" applyBorder="1" applyAlignment="1">
      <alignment horizontal="center" vertical="center"/>
    </xf>
    <xf numFmtId="20" fontId="0" fillId="2" borderId="10" xfId="0" applyNumberFormat="1" applyFill="1" applyBorder="1" applyAlignment="1">
      <alignment horizontal="center" vertical="center"/>
    </xf>
    <xf numFmtId="14" fontId="0" fillId="3" borderId="10" xfId="0" applyNumberFormat="1" applyFill="1" applyBorder="1">
      <alignment vertical="center"/>
    </xf>
    <xf numFmtId="41" fontId="0" fillId="0" borderId="10" xfId="1" applyFont="1" applyBorder="1">
      <alignment vertical="center"/>
    </xf>
    <xf numFmtId="0" fontId="0" fillId="0" borderId="19" xfId="0" applyBorder="1">
      <alignment vertical="center"/>
    </xf>
    <xf numFmtId="0" fontId="8" fillId="0" borderId="0" xfId="0" applyFont="1">
      <alignment vertical="center"/>
    </xf>
    <xf numFmtId="0" fontId="8" fillId="0" borderId="20" xfId="0" applyFont="1" applyBorder="1">
      <alignment vertical="center"/>
    </xf>
    <xf numFmtId="0" fontId="8" fillId="0" borderId="21" xfId="0" applyFont="1" applyBorder="1">
      <alignment vertical="center"/>
    </xf>
    <xf numFmtId="0" fontId="8" fillId="0" borderId="22" xfId="0" applyFont="1" applyBorder="1">
      <alignment vertical="center"/>
    </xf>
    <xf numFmtId="0" fontId="8" fillId="0" borderId="23" xfId="0" applyFont="1" applyBorder="1">
      <alignment vertical="center"/>
    </xf>
    <xf numFmtId="0" fontId="8" fillId="0" borderId="24" xfId="0" applyFont="1" applyBorder="1">
      <alignment vertical="center"/>
    </xf>
    <xf numFmtId="0" fontId="8" fillId="0" borderId="0" xfId="0" applyFont="1" applyAlignment="1">
      <alignment vertical="center" shrinkToFit="1"/>
    </xf>
    <xf numFmtId="0" fontId="7" fillId="0" borderId="0" xfId="0" applyFont="1" applyAlignment="1">
      <alignment horizontal="justify" vertical="center"/>
    </xf>
    <xf numFmtId="0" fontId="8" fillId="0" borderId="0" xfId="0" applyFont="1" applyAlignment="1">
      <alignment vertical="center" wrapText="1"/>
    </xf>
    <xf numFmtId="0" fontId="8" fillId="0" borderId="25" xfId="0" applyFont="1" applyBorder="1">
      <alignment vertical="center"/>
    </xf>
    <xf numFmtId="0" fontId="8" fillId="0" borderId="26" xfId="0" applyFont="1" applyBorder="1">
      <alignment vertical="center"/>
    </xf>
    <xf numFmtId="0" fontId="8" fillId="0" borderId="27" xfId="0" applyFont="1" applyBorder="1">
      <alignment vertical="center"/>
    </xf>
    <xf numFmtId="0" fontId="14" fillId="0" borderId="0" xfId="0" applyFont="1">
      <alignment vertical="center"/>
    </xf>
    <xf numFmtId="0" fontId="16" fillId="0" borderId="0" xfId="0" applyFont="1" applyAlignment="1">
      <alignment horizontal="justify" vertical="center"/>
    </xf>
    <xf numFmtId="0" fontId="17" fillId="0" borderId="0" xfId="0" applyFont="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5" fillId="0" borderId="2" xfId="0" applyFont="1" applyBorder="1" applyAlignment="1">
      <alignment horizontal="center" vertical="center" wrapText="1"/>
    </xf>
    <xf numFmtId="0" fontId="4" fillId="0" borderId="3" xfId="0" applyFont="1" applyBorder="1" applyAlignment="1">
      <alignment horizontal="justify" vertical="center" wrapText="1"/>
    </xf>
    <xf numFmtId="0" fontId="5" fillId="0" borderId="3"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 xfId="0" applyFont="1" applyBorder="1" applyAlignment="1">
      <alignment horizontal="center" vertical="center" wrapText="1"/>
    </xf>
    <xf numFmtId="0" fontId="4" fillId="0" borderId="8" xfId="0" applyFont="1" applyBorder="1" applyAlignment="1">
      <alignment horizontal="justify" vertical="center" wrapText="1"/>
    </xf>
    <xf numFmtId="0" fontId="5" fillId="0" borderId="4" xfId="0" applyFont="1" applyBorder="1" applyAlignment="1">
      <alignment horizontal="center" vertical="center" wrapText="1"/>
    </xf>
    <xf numFmtId="0" fontId="4" fillId="0" borderId="4" xfId="0" applyFont="1" applyBorder="1" applyAlignment="1">
      <alignment horizontal="justify" vertical="center" wrapText="1"/>
    </xf>
    <xf numFmtId="0" fontId="4" fillId="0" borderId="8" xfId="0" applyFont="1" applyBorder="1" applyAlignment="1">
      <alignment horizontal="center" vertical="center" wrapText="1"/>
    </xf>
    <xf numFmtId="0" fontId="4" fillId="0" borderId="4" xfId="0" applyFont="1" applyBorder="1" applyAlignment="1">
      <alignment horizontal="center" vertical="center" wrapText="1"/>
    </xf>
    <xf numFmtId="0" fontId="5" fillId="0" borderId="32" xfId="0" applyFont="1" applyBorder="1" applyAlignment="1">
      <alignment horizontal="center" vertical="center" wrapText="1"/>
    </xf>
    <xf numFmtId="0" fontId="4" fillId="0" borderId="32" xfId="0" applyFont="1" applyBorder="1" applyAlignment="1">
      <alignment horizontal="justify" vertical="center" wrapText="1"/>
    </xf>
    <xf numFmtId="0" fontId="4" fillId="0" borderId="6" xfId="0" applyFont="1" applyBorder="1" applyAlignment="1">
      <alignment horizontal="center" vertical="center" wrapText="1"/>
    </xf>
    <xf numFmtId="0" fontId="5" fillId="0" borderId="6" xfId="0" applyFont="1" applyBorder="1" applyAlignment="1">
      <alignment horizontal="justify" vertical="center" wrapText="1"/>
    </xf>
    <xf numFmtId="17" fontId="0" fillId="2" borderId="10" xfId="0" quotePrefix="1" applyNumberFormat="1" applyFill="1" applyBorder="1">
      <alignment vertical="center"/>
    </xf>
    <xf numFmtId="0" fontId="22" fillId="0" borderId="0" xfId="0" applyFont="1">
      <alignment vertical="center"/>
    </xf>
    <xf numFmtId="0" fontId="7" fillId="0" borderId="0" xfId="0" applyFont="1" applyAlignment="1">
      <alignment horizontal="left" vertical="center"/>
    </xf>
    <xf numFmtId="14" fontId="0" fillId="2" borderId="10" xfId="0" applyNumberFormat="1" applyFill="1" applyBorder="1" applyAlignment="1">
      <alignment horizontal="center" vertical="center"/>
    </xf>
    <xf numFmtId="17" fontId="0" fillId="2" borderId="10" xfId="0" applyNumberFormat="1" applyFill="1" applyBorder="1" applyAlignment="1">
      <alignment horizontal="center" vertical="center"/>
    </xf>
    <xf numFmtId="0" fontId="0" fillId="2" borderId="10" xfId="0" applyFill="1" applyBorder="1">
      <alignment vertical="center"/>
    </xf>
    <xf numFmtId="0" fontId="12" fillId="0" borderId="0" xfId="0" applyFont="1" applyAlignment="1">
      <alignment horizontal="justify" vertical="center"/>
    </xf>
    <xf numFmtId="0" fontId="16" fillId="0" borderId="0" xfId="0" applyFont="1" applyAlignment="1">
      <alignment horizontal="justify" vertical="center"/>
    </xf>
    <xf numFmtId="0" fontId="16" fillId="0" borderId="0" xfId="0" applyFont="1" applyAlignment="1">
      <alignment horizontal="center" vertical="center"/>
    </xf>
    <xf numFmtId="0" fontId="17" fillId="0" borderId="0" xfId="0" applyFont="1" applyAlignment="1">
      <alignment vertical="center" shrinkToFit="1"/>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13"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9" fillId="0" borderId="11" xfId="0" applyFont="1" applyBorder="1" applyAlignment="1">
      <alignment vertical="center" wrapText="1"/>
    </xf>
    <xf numFmtId="0" fontId="9" fillId="0" borderId="12" xfId="0" applyFont="1" applyBorder="1" applyAlignment="1">
      <alignment vertical="center" wrapText="1"/>
    </xf>
    <xf numFmtId="0" fontId="9" fillId="0" borderId="13" xfId="0" applyFont="1" applyBorder="1" applyAlignment="1">
      <alignment vertical="center" wrapText="1"/>
    </xf>
    <xf numFmtId="0" fontId="9" fillId="0" borderId="14" xfId="0" applyFont="1" applyBorder="1" applyAlignment="1">
      <alignment vertical="center" wrapText="1"/>
    </xf>
    <xf numFmtId="0" fontId="9" fillId="0" borderId="0" xfId="0" applyFont="1" applyAlignment="1">
      <alignment vertical="center" wrapText="1"/>
    </xf>
    <xf numFmtId="0" fontId="9" fillId="0" borderId="15" xfId="0" applyFont="1" applyBorder="1" applyAlignment="1">
      <alignment vertical="center" wrapText="1"/>
    </xf>
    <xf numFmtId="0" fontId="9" fillId="0" borderId="16" xfId="0" applyFont="1" applyBorder="1" applyAlignment="1">
      <alignment vertical="center" wrapText="1"/>
    </xf>
    <xf numFmtId="0" fontId="9" fillId="0" borderId="17" xfId="0" applyFont="1" applyBorder="1" applyAlignment="1">
      <alignment vertical="center" wrapText="1"/>
    </xf>
    <xf numFmtId="0" fontId="9" fillId="0" borderId="18" xfId="0" applyFont="1" applyBorder="1" applyAlignment="1">
      <alignment vertical="center" wrapText="1"/>
    </xf>
    <xf numFmtId="0" fontId="14" fillId="0" borderId="0" xfId="0" applyFont="1" applyAlignment="1">
      <alignment horizontal="justify" vertical="center"/>
    </xf>
    <xf numFmtId="0" fontId="17" fillId="0" borderId="0" xfId="0" applyFont="1" applyAlignment="1">
      <alignment vertical="center" wrapText="1"/>
    </xf>
    <xf numFmtId="0" fontId="17" fillId="0" borderId="0" xfId="0" applyFont="1">
      <alignment vertical="center"/>
    </xf>
    <xf numFmtId="0" fontId="14" fillId="0" borderId="0" xfId="0" applyFont="1">
      <alignment vertical="center"/>
    </xf>
    <xf numFmtId="0" fontId="10" fillId="0" borderId="0" xfId="0" applyFont="1">
      <alignment vertical="center"/>
    </xf>
    <xf numFmtId="0" fontId="16" fillId="0" borderId="0" xfId="0" applyFont="1" applyAlignment="1">
      <alignment horizontal="justify" vertical="center" wrapText="1"/>
    </xf>
    <xf numFmtId="0" fontId="16" fillId="0" borderId="26" xfId="0" applyFont="1" applyBorder="1" applyAlignment="1">
      <alignment horizontal="justify" vertical="center" wrapText="1"/>
    </xf>
    <xf numFmtId="0" fontId="17" fillId="0" borderId="0" xfId="0" applyFont="1" applyAlignment="1">
      <alignment horizontal="center" vertical="center"/>
    </xf>
    <xf numFmtId="0" fontId="11" fillId="0" borderId="0" xfId="0" applyFont="1" applyAlignment="1">
      <alignment horizontal="center" vertical="center"/>
    </xf>
    <xf numFmtId="177" fontId="17" fillId="0" borderId="0" xfId="0" applyNumberFormat="1" applyFont="1" applyAlignment="1">
      <alignment horizontal="center" vertical="center"/>
    </xf>
    <xf numFmtId="0" fontId="18" fillId="0" borderId="0" xfId="0" applyFont="1" applyAlignment="1">
      <alignment horizontal="justify" vertical="center"/>
    </xf>
    <xf numFmtId="0" fontId="8" fillId="0" borderId="0" xfId="0" applyFont="1" applyAlignment="1">
      <alignment vertical="center" wrapText="1"/>
    </xf>
    <xf numFmtId="0" fontId="6" fillId="0" borderId="0" xfId="0" applyFont="1" applyAlignment="1">
      <alignment horizontal="justify" vertical="center"/>
    </xf>
    <xf numFmtId="0" fontId="8" fillId="0" borderId="0" xfId="0" applyFont="1">
      <alignment vertical="center"/>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0" fontId="5" fillId="0" borderId="3" xfId="0" applyFont="1" applyBorder="1" applyAlignment="1">
      <alignment horizontal="center" vertical="center" wrapText="1"/>
    </xf>
    <xf numFmtId="0" fontId="4" fillId="0" borderId="8" xfId="0" applyFont="1" applyBorder="1" applyAlignment="1">
      <alignment horizontal="justify" vertical="center" wrapText="1"/>
    </xf>
    <xf numFmtId="0" fontId="4" fillId="0" borderId="4" xfId="0" applyFont="1" applyBorder="1" applyAlignment="1">
      <alignment horizontal="justify" vertical="center" wrapText="1"/>
    </xf>
    <xf numFmtId="0" fontId="4" fillId="0" borderId="3" xfId="0" applyFont="1" applyBorder="1" applyAlignment="1">
      <alignment horizontal="justify" vertical="center" wrapText="1"/>
    </xf>
    <xf numFmtId="0" fontId="5" fillId="0" borderId="9" xfId="0" applyFont="1" applyBorder="1" applyAlignment="1">
      <alignment horizontal="center" vertical="center" wrapText="1"/>
    </xf>
    <xf numFmtId="0" fontId="5" fillId="0" borderId="2" xfId="0" applyFont="1" applyBorder="1" applyAlignment="1">
      <alignment horizontal="center" vertical="center" wrapText="1"/>
    </xf>
  </cellXfs>
  <cellStyles count="2">
    <cellStyle name="쉼표 [0]" xfId="1" builtinId="6"/>
    <cellStyle name="표준"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22</xdr:col>
      <xdr:colOff>41412</xdr:colOff>
      <xdr:row>1</xdr:row>
      <xdr:rowOff>140804</xdr:rowOff>
    </xdr:from>
    <xdr:to>
      <xdr:col>25</xdr:col>
      <xdr:colOff>124238</xdr:colOff>
      <xdr:row>3</xdr:row>
      <xdr:rowOff>173934</xdr:rowOff>
    </xdr:to>
    <xdr:sp macro="매크로1" textlink="">
      <xdr:nvSpPr>
        <xdr:cNvPr id="2" name="오른쪽 화살표 1">
          <a:extLst>
            <a:ext uri="{FF2B5EF4-FFF2-40B4-BE49-F238E27FC236}">
              <a16:creationId xmlns:a16="http://schemas.microsoft.com/office/drawing/2014/main" id="{00000000-0008-0000-0100-000002000000}"/>
            </a:ext>
          </a:extLst>
        </xdr:cNvPr>
        <xdr:cNvSpPr/>
      </xdr:nvSpPr>
      <xdr:spPr>
        <a:xfrm>
          <a:off x="9781760" y="397565"/>
          <a:ext cx="1101587" cy="54665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t>PDF</a:t>
          </a:r>
          <a:r>
            <a:rPr lang="ko-KR" altLang="en-US" sz="1100"/>
            <a:t>출력</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F17"/>
  <sheetViews>
    <sheetView workbookViewId="0">
      <selection activeCell="C2" sqref="C2"/>
    </sheetView>
  </sheetViews>
  <sheetFormatPr defaultRowHeight="17.399999999999999"/>
  <cols>
    <col min="2" max="2" width="23" bestFit="1" customWidth="1"/>
    <col min="3" max="3" width="19" customWidth="1"/>
    <col min="4" max="4" width="13.3984375" bestFit="1" customWidth="1"/>
    <col min="5" max="5" width="15.09765625" bestFit="1" customWidth="1"/>
    <col min="6" max="6" width="11.19921875" customWidth="1"/>
    <col min="7" max="7" width="16" bestFit="1" customWidth="1"/>
  </cols>
  <sheetData>
    <row r="1" spans="2:6">
      <c r="B1" t="s">
        <v>966</v>
      </c>
    </row>
    <row r="2" spans="2:6">
      <c r="B2" s="15" t="s">
        <v>642</v>
      </c>
      <c r="C2" s="16" t="s">
        <v>980</v>
      </c>
      <c r="D2" s="40"/>
      <c r="E2" s="24"/>
    </row>
    <row r="3" spans="2:6">
      <c r="B3" s="15" t="s">
        <v>643</v>
      </c>
      <c r="C3" s="58" t="s">
        <v>977</v>
      </c>
      <c r="D3" s="42"/>
      <c r="E3" s="41"/>
    </row>
    <row r="4" spans="2:6">
      <c r="B4" s="15" t="s">
        <v>644</v>
      </c>
      <c r="C4" s="63" t="s">
        <v>972</v>
      </c>
      <c r="D4" s="63"/>
      <c r="E4" s="63"/>
    </row>
    <row r="5" spans="2:6">
      <c r="B5" s="15" t="s">
        <v>645</v>
      </c>
      <c r="C5" s="15" t="s">
        <v>630</v>
      </c>
      <c r="D5" s="22">
        <v>45097</v>
      </c>
      <c r="E5" s="16" t="s">
        <v>957</v>
      </c>
    </row>
    <row r="6" spans="2:6">
      <c r="B6" s="15" t="s">
        <v>646</v>
      </c>
      <c r="C6" s="18">
        <v>74685600</v>
      </c>
      <c r="D6" s="15" t="s">
        <v>651</v>
      </c>
      <c r="E6" s="23">
        <f>IF($C$2="국가계약",88%,IF(AND($C$2="지방계약",$C$6/1.1&lt;=20000000),90%,88%))*100</f>
        <v>88</v>
      </c>
    </row>
    <row r="7" spans="2:6">
      <c r="B7" s="15" t="s">
        <v>647</v>
      </c>
      <c r="C7" s="15"/>
      <c r="D7" s="15"/>
      <c r="E7" s="15"/>
    </row>
    <row r="8" spans="2:6">
      <c r="B8" s="19" t="s">
        <v>636</v>
      </c>
      <c r="C8" s="19" t="s">
        <v>637</v>
      </c>
      <c r="D8" s="19" t="s">
        <v>635</v>
      </c>
      <c r="E8" s="19" t="s">
        <v>638</v>
      </c>
      <c r="F8" s="13">
        <v>4.1666666666666685E-2</v>
      </c>
    </row>
    <row r="9" spans="2:6">
      <c r="B9" s="61">
        <v>44743</v>
      </c>
      <c r="C9" s="21">
        <v>0.375</v>
      </c>
      <c r="D9" s="62">
        <v>44685</v>
      </c>
      <c r="E9" s="21">
        <v>0.41666666666666669</v>
      </c>
      <c r="F9" s="14">
        <f>+$E$9+$F$8</f>
        <v>0.45833333333333337</v>
      </c>
    </row>
    <row r="10" spans="2:6">
      <c r="B10" s="15" t="s">
        <v>648</v>
      </c>
      <c r="C10" s="17" t="s">
        <v>970</v>
      </c>
      <c r="D10" s="15" t="s">
        <v>640</v>
      </c>
      <c r="E10" s="16"/>
    </row>
    <row r="11" spans="2:6">
      <c r="B11" s="15" t="s">
        <v>649</v>
      </c>
      <c r="C11" s="16">
        <v>3010990201</v>
      </c>
      <c r="D11" s="15" t="s">
        <v>641</v>
      </c>
      <c r="E11" s="15" t="str">
        <f>+VLOOKUP($C$11,'(중소벤처기업부 공고 제2020-13호)'!$C:$D,2,0)</f>
        <v>혼합골재</v>
      </c>
    </row>
    <row r="12" spans="2:6">
      <c r="B12" s="15" t="s">
        <v>657</v>
      </c>
      <c r="C12" s="15"/>
      <c r="D12" s="15"/>
      <c r="E12" s="43"/>
    </row>
    <row r="13" spans="2:6">
      <c r="B13" s="15" t="s">
        <v>658</v>
      </c>
      <c r="C13" s="15" t="s">
        <v>659</v>
      </c>
      <c r="D13" s="15" t="s">
        <v>660</v>
      </c>
      <c r="E13" s="40"/>
    </row>
    <row r="14" spans="2:6">
      <c r="B14" s="20" t="s">
        <v>971</v>
      </c>
      <c r="C14" s="20" t="s">
        <v>979</v>
      </c>
      <c r="D14" s="20" t="s">
        <v>973</v>
      </c>
      <c r="E14" s="40"/>
    </row>
    <row r="15" spans="2:6">
      <c r="B15" s="15" t="s">
        <v>661</v>
      </c>
      <c r="C15" s="15"/>
      <c r="D15" s="15"/>
      <c r="E15" s="40"/>
    </row>
    <row r="16" spans="2:6">
      <c r="B16" s="15" t="s">
        <v>658</v>
      </c>
      <c r="C16" s="15" t="s">
        <v>659</v>
      </c>
      <c r="D16" s="15" t="s">
        <v>660</v>
      </c>
      <c r="E16" s="40"/>
    </row>
    <row r="17" spans="2:5">
      <c r="B17" s="20" t="s">
        <v>954</v>
      </c>
      <c r="C17" s="20" t="s">
        <v>978</v>
      </c>
      <c r="D17" s="20" t="s">
        <v>968</v>
      </c>
      <c r="E17" s="40"/>
    </row>
  </sheetData>
  <mergeCells count="1">
    <mergeCell ref="C4:E4"/>
  </mergeCells>
  <phoneticPr fontId="3" type="noConversion"/>
  <dataValidations count="3">
    <dataValidation type="list" allowBlank="1" showInputMessage="1" showErrorMessage="1" sqref="E5" xr:uid="{00000000-0002-0000-0000-000000000000}">
      <formula1>"까지, 이내"</formula1>
    </dataValidation>
    <dataValidation type="list" allowBlank="1" showInputMessage="1" showErrorMessage="1" sqref="C10" xr:uid="{00000000-0002-0000-0000-000001000000}">
      <formula1>"제한, 미제한"</formula1>
    </dataValidation>
    <dataValidation type="list" allowBlank="1" showInputMessage="1" showErrorMessage="1" sqref="C2" xr:uid="{00000000-0002-0000-0000-000002000000}">
      <formula1>"국가계약, 지방계약"</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U82"/>
  <sheetViews>
    <sheetView showGridLines="0" tabSelected="1" zoomScale="55" zoomScaleNormal="55" zoomScaleSheetLayoutView="115" workbookViewId="0">
      <selection activeCell="Y5" sqref="Y5"/>
    </sheetView>
  </sheetViews>
  <sheetFormatPr defaultColWidth="4.5" defaultRowHeight="20.25" customHeight="1"/>
  <cols>
    <col min="1" max="1" width="0.5" style="25" customWidth="1"/>
    <col min="2" max="2" width="15.59765625" style="25" customWidth="1"/>
    <col min="3" max="3" width="4.5" style="25"/>
    <col min="4" max="4" width="7.69921875" style="25" customWidth="1"/>
    <col min="5" max="6" width="4.5" style="25"/>
    <col min="7" max="7" width="6.59765625" style="25" customWidth="1"/>
    <col min="8" max="8" width="4.5" style="25"/>
    <col min="9" max="9" width="10.09765625" style="25" customWidth="1"/>
    <col min="10" max="17" width="4.5" style="25"/>
    <col min="18" max="18" width="4.5" style="25" customWidth="1"/>
    <col min="19" max="19" width="10.69921875" style="25" customWidth="1"/>
    <col min="20" max="20" width="18.69921875" style="25" customWidth="1"/>
    <col min="21" max="21" width="0.5" style="25" customWidth="1"/>
    <col min="22" max="16384" width="4.5" style="25"/>
  </cols>
  <sheetData>
    <row r="1" spans="1:21" ht="20.25" customHeight="1">
      <c r="A1" s="26"/>
      <c r="B1" s="27"/>
      <c r="C1" s="27"/>
      <c r="D1" s="27"/>
      <c r="E1" s="27"/>
      <c r="F1" s="27"/>
      <c r="G1" s="27"/>
      <c r="H1" s="27"/>
      <c r="I1" s="27"/>
      <c r="J1" s="27"/>
      <c r="K1" s="27"/>
      <c r="L1" s="27"/>
      <c r="M1" s="27"/>
      <c r="N1" s="27"/>
      <c r="O1" s="27"/>
      <c r="P1" s="27"/>
      <c r="Q1" s="27"/>
      <c r="R1" s="27"/>
      <c r="S1" s="27"/>
      <c r="T1" s="27"/>
      <c r="U1" s="28"/>
    </row>
    <row r="2" spans="1:21" ht="20.25" customHeight="1">
      <c r="A2" s="29"/>
      <c r="B2" s="60" t="str">
        <f>"한국환경공단 수도권서부환경본부 제"&amp;입력창!$C$3&amp;"호"</f>
        <v>한국환경공단 수도권서부환경본부 제2022-43호</v>
      </c>
      <c r="H2" s="59" t="s">
        <v>965</v>
      </c>
      <c r="U2" s="30"/>
    </row>
    <row r="3" spans="1:21" ht="20.25" customHeight="1">
      <c r="A3" s="29"/>
      <c r="U3" s="30"/>
    </row>
    <row r="4" spans="1:21" ht="29.25" customHeight="1">
      <c r="A4" s="29"/>
      <c r="D4" s="59" t="s">
        <v>962</v>
      </c>
      <c r="U4" s="30"/>
    </row>
    <row r="5" spans="1:21" ht="20.25" customHeight="1">
      <c r="A5" s="29"/>
      <c r="B5"/>
      <c r="C5" s="68" t="s">
        <v>669</v>
      </c>
      <c r="D5" s="69"/>
      <c r="E5" s="69"/>
      <c r="F5" s="69"/>
      <c r="G5" s="69"/>
      <c r="H5" s="69"/>
      <c r="I5" s="69"/>
      <c r="J5" s="69"/>
      <c r="K5" s="69"/>
      <c r="L5" s="69"/>
      <c r="M5" s="69"/>
      <c r="N5" s="69"/>
      <c r="O5" s="69"/>
      <c r="P5" s="69"/>
      <c r="Q5" s="69"/>
      <c r="R5" s="69"/>
      <c r="S5" s="70"/>
      <c r="T5"/>
      <c r="U5" s="30"/>
    </row>
    <row r="6" spans="1:21" ht="20.25" customHeight="1">
      <c r="A6" s="29"/>
      <c r="B6"/>
      <c r="C6" s="71"/>
      <c r="D6" s="72"/>
      <c r="E6" s="72"/>
      <c r="F6" s="72"/>
      <c r="G6" s="72"/>
      <c r="H6" s="72"/>
      <c r="I6" s="72"/>
      <c r="J6" s="72"/>
      <c r="K6" s="72"/>
      <c r="L6" s="72"/>
      <c r="M6" s="72"/>
      <c r="N6" s="72"/>
      <c r="O6" s="72"/>
      <c r="P6" s="72"/>
      <c r="Q6" s="72"/>
      <c r="R6" s="72"/>
      <c r="S6" s="73"/>
      <c r="T6"/>
      <c r="U6" s="30"/>
    </row>
    <row r="7" spans="1:21" ht="20.25" customHeight="1">
      <c r="A7" s="29"/>
      <c r="U7" s="30"/>
    </row>
    <row r="8" spans="1:21" ht="20.25" customHeight="1">
      <c r="A8" s="29"/>
      <c r="B8" s="64" t="s">
        <v>964</v>
      </c>
      <c r="C8" s="64"/>
      <c r="D8" s="64"/>
      <c r="E8" s="64"/>
      <c r="F8" s="64"/>
      <c r="G8" s="64"/>
      <c r="H8" s="64"/>
      <c r="I8" s="64"/>
      <c r="J8" s="64"/>
      <c r="K8" s="64"/>
      <c r="U8" s="30"/>
    </row>
    <row r="9" spans="1:21" ht="20.25" customHeight="1">
      <c r="A9" s="29"/>
      <c r="B9" s="65" t="s">
        <v>631</v>
      </c>
      <c r="C9" s="65"/>
      <c r="D9" s="67" t="str">
        <f>입력창!$C$4</f>
        <v>파주 법원관로 설치 및 문산총인 증설사업 관급자재(혼합골재) 구매</v>
      </c>
      <c r="E9" s="67"/>
      <c r="F9" s="67"/>
      <c r="G9" s="67"/>
      <c r="H9" s="67"/>
      <c r="I9" s="67"/>
      <c r="J9" s="67"/>
      <c r="K9" s="67"/>
      <c r="L9" s="67"/>
      <c r="M9" s="67"/>
      <c r="N9" s="67"/>
      <c r="O9" s="67"/>
      <c r="P9" s="67"/>
      <c r="Q9" s="67"/>
      <c r="R9" s="67"/>
      <c r="S9" s="67"/>
      <c r="T9" s="31"/>
      <c r="U9" s="30"/>
    </row>
    <row r="10" spans="1:21" ht="20.25" customHeight="1">
      <c r="A10" s="29"/>
      <c r="B10" s="65" t="s">
        <v>667</v>
      </c>
      <c r="C10" s="65"/>
      <c r="D10" s="67" t="str">
        <f>입력창!$C$5&amp;" ~ "&amp;TEXT(입력창!$D$5, "yyyy.mm.dd")&amp;" "&amp;입력창!$E$5</f>
        <v>계약체결일로부터 ~ 2023.06.20 까지</v>
      </c>
      <c r="E10" s="67"/>
      <c r="F10" s="67"/>
      <c r="G10" s="67"/>
      <c r="H10" s="67"/>
      <c r="I10" s="67"/>
      <c r="J10" s="67"/>
      <c r="K10" s="67"/>
      <c r="L10" s="67"/>
      <c r="M10" s="67"/>
      <c r="N10" s="67"/>
      <c r="O10" s="67"/>
      <c r="P10" s="67"/>
      <c r="Q10" s="67"/>
      <c r="R10" s="67"/>
      <c r="S10" s="67"/>
      <c r="T10" s="31"/>
      <c r="U10" s="30"/>
    </row>
    <row r="11" spans="1:21" ht="20.25" customHeight="1">
      <c r="A11" s="29"/>
      <c r="B11" s="65" t="s">
        <v>632</v>
      </c>
      <c r="C11" s="65"/>
      <c r="D11" s="67" t="str">
        <f>TEXT(입력창!$C$6,"#,##0")&amp;" 원(부가가치세 포함)"</f>
        <v>74,685,600 원(부가가치세 포함)</v>
      </c>
      <c r="E11" s="67"/>
      <c r="F11" s="67"/>
      <c r="G11" s="67"/>
      <c r="H11" s="67"/>
      <c r="I11" s="67"/>
      <c r="J11" s="67"/>
      <c r="K11" s="67"/>
      <c r="L11" s="67"/>
      <c r="M11" s="67"/>
      <c r="N11" s="67"/>
      <c r="O11" s="67"/>
      <c r="P11" s="67"/>
      <c r="Q11" s="67"/>
      <c r="R11" s="67"/>
      <c r="S11" s="67"/>
      <c r="U11" s="30"/>
    </row>
    <row r="12" spans="1:21" ht="20.25" customHeight="1">
      <c r="A12" s="29"/>
      <c r="B12" s="65" t="s">
        <v>633</v>
      </c>
      <c r="C12" s="65"/>
      <c r="D12" s="65"/>
      <c r="E12" s="65"/>
      <c r="F12" s="65"/>
      <c r="G12" s="65"/>
      <c r="H12" s="65"/>
      <c r="I12" s="65"/>
      <c r="J12" s="65"/>
      <c r="K12" s="65"/>
      <c r="L12" s="65"/>
      <c r="M12" s="65"/>
      <c r="N12" s="65"/>
      <c r="O12" s="65"/>
      <c r="P12" s="65"/>
      <c r="Q12" s="65"/>
      <c r="R12" s="65"/>
      <c r="S12" s="65"/>
      <c r="U12" s="30"/>
    </row>
    <row r="13" spans="1:21" ht="20.25" customHeight="1">
      <c r="A13" s="29"/>
      <c r="B13" s="65" t="s">
        <v>634</v>
      </c>
      <c r="C13" s="65"/>
      <c r="D13" s="65"/>
      <c r="E13" s="65"/>
      <c r="F13" s="65"/>
      <c r="G13" s="65"/>
      <c r="H13" s="65"/>
      <c r="I13" s="65"/>
      <c r="J13" s="65"/>
      <c r="K13" s="65"/>
      <c r="L13" s="65"/>
      <c r="M13" s="65"/>
      <c r="N13" s="65"/>
      <c r="O13" s="65"/>
      <c r="P13" s="65"/>
      <c r="Q13" s="65"/>
      <c r="R13" s="65"/>
      <c r="S13" s="65"/>
      <c r="U13" s="30"/>
    </row>
    <row r="14" spans="1:21" ht="20.25" customHeight="1">
      <c r="A14" s="29"/>
      <c r="B14" s="65" t="s">
        <v>670</v>
      </c>
      <c r="C14" s="65"/>
      <c r="D14" s="65"/>
      <c r="E14" s="65"/>
      <c r="F14" s="66" t="s">
        <v>974</v>
      </c>
      <c r="G14" s="66"/>
      <c r="H14" s="66"/>
      <c r="I14" s="66"/>
      <c r="J14" s="38" t="s">
        <v>639</v>
      </c>
      <c r="K14" s="66" t="s">
        <v>975</v>
      </c>
      <c r="L14" s="66"/>
      <c r="M14" s="66"/>
      <c r="N14" s="66"/>
      <c r="O14" s="66"/>
      <c r="P14" s="66"/>
      <c r="Q14" s="38"/>
      <c r="R14" s="38"/>
      <c r="S14" s="38"/>
      <c r="U14" s="30"/>
    </row>
    <row r="15" spans="1:21" ht="20.25" customHeight="1">
      <c r="A15" s="29"/>
      <c r="B15" s="65" t="s">
        <v>666</v>
      </c>
      <c r="C15" s="65"/>
      <c r="D15" s="65"/>
      <c r="E15" s="65"/>
      <c r="F15" s="66" t="s">
        <v>976</v>
      </c>
      <c r="G15" s="66"/>
      <c r="H15" s="66"/>
      <c r="I15" s="66"/>
      <c r="J15" s="38"/>
      <c r="K15" s="38"/>
      <c r="L15" s="65"/>
      <c r="M15" s="65"/>
      <c r="N15" s="65"/>
      <c r="O15" s="65"/>
      <c r="P15" s="39"/>
      <c r="Q15" s="39"/>
      <c r="R15" s="39"/>
      <c r="S15" s="39"/>
      <c r="U15" s="30"/>
    </row>
    <row r="16" spans="1:21" ht="20.25" customHeight="1">
      <c r="A16" s="29"/>
      <c r="B16" s="32"/>
      <c r="U16" s="30"/>
    </row>
    <row r="17" spans="1:21" ht="20.25" customHeight="1">
      <c r="A17" s="29"/>
      <c r="B17" s="64" t="s">
        <v>663</v>
      </c>
      <c r="C17" s="64"/>
      <c r="D17" s="64"/>
      <c r="E17" s="64"/>
      <c r="F17" s="64"/>
      <c r="G17" s="64"/>
      <c r="H17" s="64"/>
      <c r="I17" s="64"/>
      <c r="J17" s="64"/>
      <c r="K17" s="64"/>
      <c r="U17" s="30"/>
    </row>
    <row r="18" spans="1:21" ht="20.25" customHeight="1">
      <c r="A18" s="29"/>
      <c r="B18" s="65" t="s">
        <v>969</v>
      </c>
      <c r="C18" s="65"/>
      <c r="D18" s="65"/>
      <c r="E18" s="65"/>
      <c r="F18" s="65"/>
      <c r="G18" s="65"/>
      <c r="H18" s="65"/>
      <c r="I18" s="65"/>
      <c r="J18" s="65"/>
      <c r="K18" s="65"/>
      <c r="L18" s="65"/>
      <c r="M18" s="65"/>
      <c r="N18" s="65"/>
      <c r="O18" s="65"/>
      <c r="P18" s="65"/>
      <c r="Q18" s="65"/>
      <c r="R18" s="65"/>
      <c r="S18" s="65"/>
      <c r="U18" s="30"/>
    </row>
    <row r="19" spans="1:21" ht="20.25" customHeight="1">
      <c r="A19" s="29"/>
      <c r="B19" s="65" t="s">
        <v>664</v>
      </c>
      <c r="C19" s="65"/>
      <c r="D19" s="65"/>
      <c r="E19" s="65"/>
      <c r="F19" s="65"/>
      <c r="G19" s="65"/>
      <c r="H19" s="65"/>
      <c r="I19" s="65"/>
      <c r="J19" s="65"/>
      <c r="K19" s="65"/>
      <c r="L19" s="65"/>
      <c r="M19" s="65"/>
      <c r="N19" s="65"/>
      <c r="O19" s="65"/>
      <c r="P19" s="65"/>
      <c r="Q19" s="65"/>
      <c r="R19" s="65"/>
      <c r="S19" s="65"/>
      <c r="T19" s="39"/>
      <c r="U19" s="30"/>
    </row>
    <row r="20" spans="1:21" ht="20.25" customHeight="1">
      <c r="A20" s="29"/>
      <c r="B20" s="65" t="s">
        <v>665</v>
      </c>
      <c r="C20" s="65"/>
      <c r="D20" s="65"/>
      <c r="E20" s="65"/>
      <c r="F20" s="65"/>
      <c r="G20" s="65"/>
      <c r="H20" s="65"/>
      <c r="I20" s="65"/>
      <c r="J20" s="65"/>
      <c r="K20" s="65"/>
      <c r="L20" s="65"/>
      <c r="M20" s="65"/>
      <c r="N20" s="65"/>
      <c r="O20" s="65"/>
      <c r="P20" s="65"/>
      <c r="Q20" s="65"/>
      <c r="R20" s="65"/>
      <c r="S20" s="65"/>
      <c r="T20" s="39"/>
      <c r="U20" s="30"/>
    </row>
    <row r="21" spans="1:21" ht="20.25" customHeight="1">
      <c r="A21" s="29"/>
      <c r="B21" s="93" t="s">
        <v>671</v>
      </c>
      <c r="C21" s="93"/>
      <c r="D21" s="93"/>
      <c r="E21" s="93"/>
      <c r="F21" s="93"/>
      <c r="G21" s="93"/>
      <c r="H21" s="93"/>
      <c r="I21" s="93"/>
      <c r="J21" s="93"/>
      <c r="K21" s="93"/>
      <c r="L21" s="93"/>
      <c r="M21" s="93"/>
      <c r="N21" s="93"/>
      <c r="O21" s="93"/>
      <c r="P21" s="93"/>
      <c r="Q21" s="93"/>
      <c r="R21" s="93"/>
      <c r="S21" s="93"/>
      <c r="T21" s="93"/>
      <c r="U21" s="30"/>
    </row>
    <row r="22" spans="1:21" ht="20.25" customHeight="1">
      <c r="A22" s="29"/>
      <c r="B22" s="88" t="s">
        <v>668</v>
      </c>
      <c r="C22" s="88"/>
      <c r="D22" s="88"/>
      <c r="E22" s="88"/>
      <c r="F22" s="88"/>
      <c r="G22" s="88"/>
      <c r="H22" s="88"/>
      <c r="I22" s="88"/>
      <c r="J22" s="88"/>
      <c r="K22" s="88"/>
      <c r="L22" s="88"/>
      <c r="M22" s="88"/>
      <c r="N22" s="88"/>
      <c r="O22" s="88"/>
      <c r="P22" s="88"/>
      <c r="Q22" s="88"/>
      <c r="R22" s="88"/>
      <c r="S22" s="88"/>
      <c r="T22" s="88"/>
      <c r="U22" s="30"/>
    </row>
    <row r="23" spans="1:21" ht="20.25" customHeight="1">
      <c r="A23" s="29"/>
      <c r="B23" s="88"/>
      <c r="C23" s="88"/>
      <c r="D23" s="88"/>
      <c r="E23" s="88"/>
      <c r="F23" s="88"/>
      <c r="G23" s="88"/>
      <c r="H23" s="88"/>
      <c r="I23" s="88"/>
      <c r="J23" s="88"/>
      <c r="K23" s="88"/>
      <c r="L23" s="88"/>
      <c r="M23" s="88"/>
      <c r="N23" s="88"/>
      <c r="O23" s="88"/>
      <c r="P23" s="88"/>
      <c r="Q23" s="88"/>
      <c r="R23" s="88"/>
      <c r="S23" s="88"/>
      <c r="T23" s="88"/>
      <c r="U23" s="30"/>
    </row>
    <row r="24" spans="1:21" ht="20.25" customHeight="1">
      <c r="A24" s="29"/>
      <c r="U24" s="30"/>
    </row>
    <row r="25" spans="1:21" ht="20.25" customHeight="1">
      <c r="A25" s="29"/>
      <c r="B25" s="64" t="s">
        <v>674</v>
      </c>
      <c r="C25" s="64"/>
      <c r="D25" s="64"/>
      <c r="E25" s="64"/>
      <c r="F25" s="64"/>
      <c r="G25" s="64"/>
      <c r="H25" s="64"/>
      <c r="I25" s="64"/>
      <c r="J25" s="64"/>
      <c r="K25" s="64"/>
      <c r="L25" s="64"/>
      <c r="M25" s="64"/>
      <c r="N25" s="64"/>
      <c r="O25" s="64"/>
      <c r="P25" s="64"/>
      <c r="Q25" s="64"/>
      <c r="R25" s="64"/>
      <c r="S25" s="64"/>
      <c r="U25" s="30"/>
    </row>
    <row r="26" spans="1:21" ht="76.5" customHeight="1">
      <c r="A26" s="29"/>
      <c r="B26" s="84" t="str">
        <f>" "&amp;IF(입력창!$C$10="미제한","가. 지역제한은 해당사항 없음","가. 입찰공고일 전일[신규사업자(법인인 경우 법인등기일, 개인사업자인 경우 사업자등록일을 기준으로 한다)인 경우 
     입찰공고일 이후를 포함]부터 입찰일(다만 낙찰자는 계약체결일)까지 법인등기사항증명서상 본점소재지(개인사업자인              
     경우에는 사업자등록증 또는 관련 법령에 따른 허가·인가·면허·등록·신고 등에 관련된 서류에 기재된 사업장의      
     소재지)를 계속하여"&amp;" "&amp;입력창!$E$10&amp;"에 둔 자")</f>
        <v xml:space="preserve"> 가. 지역제한은 해당사항 없음</v>
      </c>
      <c r="C26" s="84"/>
      <c r="D26" s="84"/>
      <c r="E26" s="84"/>
      <c r="F26" s="84"/>
      <c r="G26" s="84"/>
      <c r="H26" s="84"/>
      <c r="I26" s="84"/>
      <c r="J26" s="84"/>
      <c r="K26" s="84"/>
      <c r="L26" s="84"/>
      <c r="M26" s="84"/>
      <c r="N26" s="84"/>
      <c r="O26" s="84"/>
      <c r="P26" s="84"/>
      <c r="Q26" s="84"/>
      <c r="R26" s="84"/>
      <c r="S26" s="84"/>
      <c r="T26" s="84"/>
      <c r="U26" s="30"/>
    </row>
    <row r="27" spans="1:21" ht="20.25" customHeight="1">
      <c r="A27" s="29"/>
      <c r="B27" s="85" t="s">
        <v>963</v>
      </c>
      <c r="C27" s="85"/>
      <c r="D27" s="85"/>
      <c r="E27" s="85"/>
      <c r="F27" s="85"/>
      <c r="G27" s="85"/>
      <c r="H27" s="85"/>
      <c r="I27" s="85"/>
      <c r="J27" s="85"/>
      <c r="K27" s="85"/>
      <c r="L27" s="85"/>
      <c r="M27" s="85"/>
      <c r="N27" s="85"/>
      <c r="O27" s="85"/>
      <c r="P27" s="85"/>
      <c r="Q27" s="85"/>
      <c r="R27" s="85"/>
      <c r="S27" s="85"/>
      <c r="T27" s="85"/>
      <c r="U27" s="30"/>
    </row>
    <row r="28" spans="1:21" ht="20.25" customHeight="1">
      <c r="A28" s="29"/>
      <c r="B28" s="85" t="str">
        <f>"     "&amp;"등록마감일시까지 세부품명번호 10자리("&amp;입력창!$C$11&amp;")로 입찰참가 등록한 자"</f>
        <v xml:space="preserve">     등록마감일시까지 세부품명번호 10자리(3010990201)로 입찰참가 등록한 자</v>
      </c>
      <c r="C28" s="85"/>
      <c r="D28" s="85"/>
      <c r="E28" s="85"/>
      <c r="F28" s="85"/>
      <c r="G28" s="85"/>
      <c r="H28" s="85"/>
      <c r="I28" s="85"/>
      <c r="J28" s="85"/>
      <c r="K28" s="85"/>
      <c r="L28" s="85"/>
      <c r="M28" s="85"/>
      <c r="N28" s="85"/>
      <c r="O28" s="85"/>
      <c r="P28" s="85"/>
      <c r="Q28" s="85"/>
      <c r="R28" s="85"/>
      <c r="S28" s="85"/>
      <c r="T28" s="85"/>
      <c r="U28" s="30"/>
    </row>
    <row r="29" spans="1:21" ht="20.25" customHeight="1">
      <c r="A29" s="29"/>
      <c r="B29" s="67" t="str">
        <f>" "&amp;IF(입력창!$C$2="국가계약", "다. 「국가를 당사자로 하는 계약에 관한 법률 시행령」 제12조 규정에 의거 입찰참가자격을 갖춘자로서", "다. 「지방자치단체를 당사자로 하는 계약에 관한 법률 시행령」 제13조 규정에 의거 입찰참가자격을 갖춘자로서")</f>
        <v xml:space="preserve"> 다. 「국가를 당사자로 하는 계약에 관한 법률 시행령」 제12조 규정에 의거 입찰참가자격을 갖춘자로서</v>
      </c>
      <c r="C29" s="67"/>
      <c r="D29" s="67"/>
      <c r="E29" s="67"/>
      <c r="F29" s="67"/>
      <c r="G29" s="67"/>
      <c r="H29" s="67"/>
      <c r="I29" s="67"/>
      <c r="J29" s="67"/>
      <c r="K29" s="67"/>
      <c r="L29" s="67"/>
      <c r="M29" s="67"/>
      <c r="N29" s="67"/>
      <c r="O29" s="67"/>
      <c r="P29" s="67"/>
      <c r="Q29" s="67"/>
      <c r="R29" s="67"/>
      <c r="S29" s="67"/>
      <c r="T29" s="67"/>
      <c r="U29" s="30"/>
    </row>
    <row r="30" spans="1:21" ht="20.25" customHeight="1">
      <c r="A30" s="29"/>
      <c r="B30" s="67" t="s">
        <v>960</v>
      </c>
      <c r="C30" s="67"/>
      <c r="D30" s="67"/>
      <c r="E30" s="67"/>
      <c r="F30" s="67"/>
      <c r="G30" s="67"/>
      <c r="H30" s="67"/>
      <c r="I30" s="67"/>
      <c r="J30" s="67"/>
      <c r="K30" s="67"/>
      <c r="L30" s="67"/>
      <c r="M30" s="67"/>
      <c r="N30" s="67"/>
      <c r="O30" s="67"/>
      <c r="P30" s="67"/>
      <c r="Q30" s="67"/>
      <c r="R30" s="67"/>
      <c r="S30" s="67"/>
      <c r="T30" s="67"/>
      <c r="U30" s="30"/>
    </row>
    <row r="31" spans="1:21" ht="20.25" customHeight="1">
      <c r="A31" s="29"/>
      <c r="B31" s="85" t="s">
        <v>958</v>
      </c>
      <c r="C31" s="85"/>
      <c r="D31" s="85"/>
      <c r="E31" s="85"/>
      <c r="F31" s="85"/>
      <c r="G31" s="85"/>
      <c r="H31" s="85"/>
      <c r="I31" s="85"/>
      <c r="J31" s="85"/>
      <c r="K31" s="85"/>
      <c r="L31" s="85"/>
      <c r="M31" s="85"/>
      <c r="N31" s="85"/>
      <c r="O31" s="85"/>
      <c r="P31" s="85"/>
      <c r="Q31" s="85"/>
      <c r="R31" s="85"/>
      <c r="S31" s="85"/>
      <c r="T31" s="85"/>
      <c r="U31" s="30"/>
    </row>
    <row r="32" spans="1:21" ht="20.25" customHeight="1">
      <c r="A32" s="29"/>
      <c r="B32" s="67" t="s">
        <v>959</v>
      </c>
      <c r="C32" s="67"/>
      <c r="D32" s="67"/>
      <c r="E32" s="67"/>
      <c r="F32" s="67"/>
      <c r="G32" s="67"/>
      <c r="H32" s="67"/>
      <c r="I32" s="67"/>
      <c r="J32" s="67"/>
      <c r="K32" s="67"/>
      <c r="L32" s="67"/>
      <c r="M32" s="67"/>
      <c r="N32" s="67"/>
      <c r="O32" s="67"/>
      <c r="P32" s="67"/>
      <c r="Q32" s="67"/>
      <c r="R32" s="67"/>
      <c r="S32" s="67"/>
      <c r="T32" s="67"/>
      <c r="U32" s="30"/>
    </row>
    <row r="33" spans="1:21" ht="20.25" customHeight="1">
      <c r="A33" s="29"/>
      <c r="B33" s="96" t="str">
        <f>" "&amp;IF(ISERROR(입력창!$E$11),"","라. 중소기업제품 구매촉진 및 판로지원에 관한 법률 제9조 및 동법 시행령 제10조에 의한 직접생산확인증명서")</f>
        <v xml:space="preserve"> 라. 중소기업제품 구매촉진 및 판로지원에 관한 법률 제9조 및 동법 시행령 제10조에 의한 직접생산확인증명서</v>
      </c>
      <c r="C33" s="96"/>
      <c r="D33" s="96"/>
      <c r="E33" s="96"/>
      <c r="F33" s="96"/>
      <c r="G33" s="96"/>
      <c r="H33" s="96"/>
      <c r="I33" s="96"/>
      <c r="J33" s="96"/>
      <c r="K33" s="96"/>
      <c r="L33" s="96"/>
      <c r="M33" s="96"/>
      <c r="N33" s="96"/>
      <c r="O33" s="96"/>
      <c r="P33" s="96"/>
      <c r="Q33" s="96"/>
      <c r="R33" s="96"/>
      <c r="S33" s="96"/>
      <c r="T33" s="96"/>
      <c r="U33" s="30"/>
    </row>
    <row r="34" spans="1:21" ht="29.25" customHeight="1">
      <c r="A34" s="29"/>
      <c r="B34" s="94" t="str">
        <f>IF(ISERROR(" "&amp;"(세부품명:"&amp;입력창!$E$11&amp;"("&amp;입력창!C11&amp;"))를소지한업체(직접생산확인증명서는 전자입찰서제출마감일 전일까지"&amp;CHAR(10)&amp;"     발급된 것으로 유효기간 내에 있어야 함"),"","     "&amp;"(세부품명:"&amp;입력창!$E$11&amp;"("&amp;입력창!C11&amp;"))를 소지한업체(직접생산확인증명서는 전자입찰서제출마감일 전일까지"&amp;CHAR(10)&amp;"      발급된 것으로 유효기간 내에 있어야 함)")</f>
        <v xml:space="preserve">     (세부품명:혼합골재(3010990201))를 소지한업체(직접생산확인증명서는 전자입찰서제출마감일 전일까지
      발급된 것으로 유효기간 내에 있어야 함)</v>
      </c>
      <c r="C34" s="94"/>
      <c r="D34" s="94"/>
      <c r="E34" s="94"/>
      <c r="F34" s="94"/>
      <c r="G34" s="94"/>
      <c r="H34" s="94"/>
      <c r="I34" s="94"/>
      <c r="J34" s="94"/>
      <c r="K34" s="94"/>
      <c r="L34" s="94"/>
      <c r="M34" s="94"/>
      <c r="N34" s="94"/>
      <c r="O34" s="94"/>
      <c r="P34" s="94"/>
      <c r="Q34" s="94"/>
      <c r="R34" s="94"/>
      <c r="S34" s="94"/>
      <c r="T34" s="94"/>
      <c r="U34" s="30"/>
    </row>
    <row r="35" spans="1:21" ht="35.25" customHeight="1">
      <c r="A35" s="29"/>
      <c r="B35" s="94" t="s">
        <v>961</v>
      </c>
      <c r="C35" s="94"/>
      <c r="D35" s="94"/>
      <c r="E35" s="94"/>
      <c r="F35" s="94"/>
      <c r="G35" s="94"/>
      <c r="H35" s="94"/>
      <c r="I35" s="94"/>
      <c r="J35" s="94"/>
      <c r="K35" s="94"/>
      <c r="L35" s="94"/>
      <c r="M35" s="94"/>
      <c r="N35" s="94"/>
      <c r="O35" s="94"/>
      <c r="P35" s="94"/>
      <c r="Q35" s="94"/>
      <c r="R35" s="94"/>
      <c r="S35" s="94"/>
      <c r="T35" s="94"/>
      <c r="U35" s="30"/>
    </row>
    <row r="36" spans="1:21" ht="20.25" customHeight="1">
      <c r="A36" s="29"/>
      <c r="U36" s="30"/>
    </row>
    <row r="37" spans="1:21" ht="20.25" customHeight="1">
      <c r="A37" s="29"/>
      <c r="B37" s="64" t="s">
        <v>678</v>
      </c>
      <c r="C37" s="64"/>
      <c r="D37" s="64"/>
      <c r="E37" s="64"/>
      <c r="F37" s="64"/>
      <c r="G37" s="64"/>
      <c r="H37" s="64"/>
      <c r="I37" s="64"/>
      <c r="J37" s="64"/>
      <c r="K37" s="64"/>
      <c r="L37" s="64"/>
      <c r="M37" s="64"/>
      <c r="N37" s="64"/>
      <c r="O37" s="64"/>
      <c r="P37" s="64"/>
      <c r="Q37" s="64"/>
      <c r="R37" s="64"/>
      <c r="S37" s="64"/>
      <c r="U37" s="30"/>
    </row>
    <row r="38" spans="1:21" ht="20.25" customHeight="1">
      <c r="A38" s="29"/>
      <c r="B38" s="95"/>
      <c r="C38" s="95"/>
      <c r="D38" s="95"/>
      <c r="E38" s="95"/>
      <c r="F38" s="95"/>
      <c r="G38" s="95"/>
      <c r="H38" s="95"/>
      <c r="I38" s="95"/>
      <c r="J38" s="95"/>
      <c r="K38" s="95"/>
      <c r="L38" s="95"/>
      <c r="M38" s="95"/>
      <c r="N38" s="95"/>
      <c r="O38" s="95"/>
      <c r="P38" s="95"/>
      <c r="Q38" s="95"/>
      <c r="R38" s="95"/>
      <c r="S38" s="95"/>
      <c r="U38" s="30"/>
    </row>
    <row r="39" spans="1:21" ht="20.25" customHeight="1">
      <c r="A39" s="29"/>
      <c r="B39" s="64" t="s">
        <v>650</v>
      </c>
      <c r="C39" s="64"/>
      <c r="D39" s="64"/>
      <c r="E39" s="64"/>
      <c r="F39" s="64"/>
      <c r="G39" s="64"/>
      <c r="H39" s="64"/>
      <c r="I39" s="64"/>
      <c r="J39" s="64"/>
      <c r="K39" s="64"/>
      <c r="L39" s="64"/>
      <c r="M39" s="64"/>
      <c r="N39" s="64"/>
      <c r="O39" s="64"/>
      <c r="P39" s="64"/>
      <c r="Q39" s="64"/>
      <c r="R39" s="64"/>
      <c r="S39" s="64"/>
      <c r="U39" s="30"/>
    </row>
    <row r="40" spans="1:21" ht="20.25" customHeight="1">
      <c r="A40" s="29"/>
      <c r="B40" s="65" t="str">
        <f>" "&amp;IF(입력창!$C$2="국가계약","가. 예정가격은 예비가격기초금액기준 ±2% 범위내에서 작성된 15개 복수 예비가격 중 견적에 참여하는 각 업체가","가. 예정가격은 예비가격기초금액기준 ±3% 범위내에서 작성된 15개 복수 예비가격 중 견적에 참여하는 각 업체가")</f>
        <v xml:space="preserve"> 가. 예정가격은 예비가격기초금액기준 ±2% 범위내에서 작성된 15개 복수 예비가격 중 견적에 참여하는 각 업체가</v>
      </c>
      <c r="C40" s="65"/>
      <c r="D40" s="65"/>
      <c r="E40" s="65"/>
      <c r="F40" s="65"/>
      <c r="G40" s="65"/>
      <c r="H40" s="65"/>
      <c r="I40" s="65"/>
      <c r="J40" s="65"/>
      <c r="K40" s="65"/>
      <c r="L40" s="65"/>
      <c r="M40" s="65"/>
      <c r="N40" s="65"/>
      <c r="O40" s="65"/>
      <c r="P40" s="65"/>
      <c r="Q40" s="65"/>
      <c r="R40" s="65"/>
      <c r="S40" s="65"/>
      <c r="T40" s="65"/>
      <c r="U40" s="30"/>
    </row>
    <row r="41" spans="1:21" ht="20.25" customHeight="1">
      <c r="A41" s="29"/>
      <c r="B41" s="65" t="s">
        <v>675</v>
      </c>
      <c r="C41" s="65"/>
      <c r="D41" s="65"/>
      <c r="E41" s="65"/>
      <c r="F41" s="65"/>
      <c r="G41" s="65"/>
      <c r="H41" s="65"/>
      <c r="I41" s="65"/>
      <c r="J41" s="65"/>
      <c r="K41" s="65"/>
      <c r="L41" s="65"/>
      <c r="M41" s="65"/>
      <c r="N41" s="65"/>
      <c r="O41" s="65"/>
      <c r="P41" s="65"/>
      <c r="Q41" s="65"/>
      <c r="R41" s="65"/>
      <c r="S41" s="65"/>
      <c r="T41" s="65"/>
      <c r="U41" s="30"/>
    </row>
    <row r="42" spans="1:21" ht="20.25" customHeight="1">
      <c r="A42" s="29"/>
      <c r="B42" s="65" t="s">
        <v>676</v>
      </c>
      <c r="C42" s="65"/>
      <c r="D42" s="65"/>
      <c r="E42" s="65"/>
      <c r="F42" s="65"/>
      <c r="G42" s="65"/>
      <c r="H42" s="65"/>
      <c r="I42" s="65"/>
      <c r="J42" s="65"/>
      <c r="K42" s="65"/>
      <c r="L42" s="65"/>
      <c r="M42" s="65"/>
      <c r="N42" s="65"/>
      <c r="O42" s="65"/>
      <c r="P42" s="65"/>
      <c r="Q42" s="65"/>
      <c r="R42" s="65"/>
      <c r="S42" s="65"/>
      <c r="T42" s="65"/>
      <c r="U42" s="30"/>
    </row>
    <row r="43" spans="1:21" ht="41.25" customHeight="1">
      <c r="A43" s="29"/>
      <c r="B43" s="65" t="str">
        <f>" "&amp;"나. 계약상대자 선정은 예정가격의"&amp;" "&amp;입력창!$E$6&amp;"% 이상으로 견적서를 제출한자 중 최저가격으로 견적한 자를 계약상대자로 
     결정합니다. "</f>
        <v xml:space="preserve"> 나. 계약상대자 선정은 예정가격의 88% 이상으로 견적서를 제출한자 중 최저가격으로 견적한 자를 계약상대자로 
     결정합니다. </v>
      </c>
      <c r="C43" s="65"/>
      <c r="D43" s="65"/>
      <c r="E43" s="65"/>
      <c r="F43" s="65"/>
      <c r="G43" s="65"/>
      <c r="H43" s="65"/>
      <c r="I43" s="65"/>
      <c r="J43" s="65"/>
      <c r="K43" s="65"/>
      <c r="L43" s="65"/>
      <c r="M43" s="65"/>
      <c r="N43" s="65"/>
      <c r="O43" s="65"/>
      <c r="P43" s="65"/>
      <c r="Q43" s="65"/>
      <c r="R43" s="65"/>
      <c r="S43" s="65"/>
      <c r="T43" s="65"/>
      <c r="U43" s="30"/>
    </row>
    <row r="44" spans="1:21" ht="20.25" customHeight="1">
      <c r="A44" s="29"/>
      <c r="B44" s="88" t="str">
        <f>""&amp;IF(입력창!$C$2="지방계약"," 다. 동일가격의 입찰인 경우에는 지방자치단체를 당사자로 하는 계약에 관한 법률시행령 제48조를 준용하여 추첨에 
     의하여 계약상대자를 결정하며, 전자조달시스템을 통해 자동으로 추첨하는 방식을 적용하니 전자입찰특별유의서 
     제15조의 내용을 유의하여야 합니다."," 다. 동일가격으로 입찰한 자가 2인 이상일 때에 는 국가계약법시행령 제47조 규정에 의거 전자조달시스템을 통해 
     자동으로 추첨하는 방식을 적용하니 전자입찰특별유의서 제15조의 내용을 유의하여야 합니다.")</f>
        <v xml:space="preserve"> 다. 동일가격으로 입찰한 자가 2인 이상일 때에 는 국가계약법시행령 제47조 규정에 의거 전자조달시스템을 통해 
     자동으로 추첨하는 방식을 적용하니 전자입찰특별유의서 제15조의 내용을 유의하여야 합니다.</v>
      </c>
      <c r="C44" s="88"/>
      <c r="D44" s="88"/>
      <c r="E44" s="88"/>
      <c r="F44" s="88"/>
      <c r="G44" s="88"/>
      <c r="H44" s="88"/>
      <c r="I44" s="88"/>
      <c r="J44" s="88"/>
      <c r="K44" s="88"/>
      <c r="L44" s="88"/>
      <c r="M44" s="88"/>
      <c r="N44" s="88"/>
      <c r="O44" s="88"/>
      <c r="P44" s="88"/>
      <c r="Q44" s="88"/>
      <c r="R44" s="88"/>
      <c r="S44" s="88"/>
      <c r="T44" s="88"/>
      <c r="U44" s="30"/>
    </row>
    <row r="45" spans="1:21" ht="20.25" customHeight="1">
      <c r="A45" s="29"/>
      <c r="B45" s="88"/>
      <c r="C45" s="88"/>
      <c r="D45" s="88"/>
      <c r="E45" s="88"/>
      <c r="F45" s="88"/>
      <c r="G45" s="88"/>
      <c r="H45" s="88"/>
      <c r="I45" s="88"/>
      <c r="J45" s="88"/>
      <c r="K45" s="88"/>
      <c r="L45" s="88"/>
      <c r="M45" s="88"/>
      <c r="N45" s="88"/>
      <c r="O45" s="88"/>
      <c r="P45" s="88"/>
      <c r="Q45" s="88"/>
      <c r="R45" s="88"/>
      <c r="S45" s="88"/>
      <c r="T45" s="88"/>
      <c r="U45" s="30"/>
    </row>
    <row r="46" spans="1:21" ht="20.25" customHeight="1" thickBot="1">
      <c r="A46" s="34"/>
      <c r="B46" s="89"/>
      <c r="C46" s="89"/>
      <c r="D46" s="89"/>
      <c r="E46" s="89"/>
      <c r="F46" s="89"/>
      <c r="G46" s="89"/>
      <c r="H46" s="89"/>
      <c r="I46" s="89"/>
      <c r="J46" s="89"/>
      <c r="K46" s="89"/>
      <c r="L46" s="89"/>
      <c r="M46" s="89"/>
      <c r="N46" s="89"/>
      <c r="O46" s="89"/>
      <c r="P46" s="89"/>
      <c r="Q46" s="89"/>
      <c r="R46" s="89"/>
      <c r="S46" s="89"/>
      <c r="T46" s="89"/>
      <c r="U46" s="36"/>
    </row>
    <row r="47" spans="1:21" ht="23.25" customHeight="1">
      <c r="A47" s="26"/>
      <c r="B47" s="27"/>
      <c r="C47" s="27"/>
      <c r="D47" s="27"/>
      <c r="E47" s="27"/>
      <c r="F47" s="27"/>
      <c r="G47" s="27"/>
      <c r="H47" s="27"/>
      <c r="I47" s="27"/>
      <c r="J47" s="27"/>
      <c r="K47" s="27"/>
      <c r="L47" s="27"/>
      <c r="M47" s="27"/>
      <c r="N47" s="27"/>
      <c r="O47" s="27"/>
      <c r="P47" s="27"/>
      <c r="Q47" s="27"/>
      <c r="R47" s="27"/>
      <c r="S47" s="27"/>
      <c r="T47" s="27"/>
      <c r="U47" s="28"/>
    </row>
    <row r="48" spans="1:21" ht="20.25" customHeight="1">
      <c r="A48" s="29"/>
      <c r="U48" s="30"/>
    </row>
    <row r="49" spans="1:21" ht="20.25" customHeight="1">
      <c r="A49" s="29"/>
      <c r="B49" s="87" t="s">
        <v>652</v>
      </c>
      <c r="C49" s="87"/>
      <c r="D49" s="87"/>
      <c r="E49" s="87"/>
      <c r="F49" s="87"/>
      <c r="G49" s="87"/>
      <c r="H49" s="87"/>
      <c r="I49" s="87"/>
      <c r="U49" s="30"/>
    </row>
    <row r="50" spans="1:21" ht="20.25" customHeight="1">
      <c r="A50" s="29"/>
      <c r="B50" s="85" t="str">
        <f>""&amp;IF(입력창!$C$2="지방계약"," 가. 지방계약법시행규칙 제42조 및 물품입찰특별유의서 제12조의 규정에 의합니다."," 가. 국가계약법시행규칙 제44조 및 물품입찰특별유의서 제12조의 규정에 의합니다.")</f>
        <v xml:space="preserve"> 가. 국가계약법시행규칙 제44조 및 물품입찰특별유의서 제12조의 규정에 의합니다.</v>
      </c>
      <c r="C50" s="85"/>
      <c r="D50" s="85"/>
      <c r="E50" s="85"/>
      <c r="F50" s="85"/>
      <c r="G50" s="85"/>
      <c r="H50" s="85"/>
      <c r="I50" s="85"/>
      <c r="J50" s="85"/>
      <c r="K50" s="85"/>
      <c r="L50" s="85"/>
      <c r="M50" s="85"/>
      <c r="N50" s="85"/>
      <c r="O50" s="85"/>
      <c r="P50" s="85"/>
      <c r="Q50" s="85"/>
      <c r="R50" s="85"/>
      <c r="S50" s="85"/>
      <c r="T50" s="85"/>
      <c r="U50" s="30"/>
    </row>
    <row r="51" spans="1:21" ht="20.25" customHeight="1">
      <c r="A51" s="29"/>
      <c r="B51" s="84" t="s">
        <v>672</v>
      </c>
      <c r="C51" s="85"/>
      <c r="D51" s="85"/>
      <c r="E51" s="85"/>
      <c r="F51" s="85"/>
      <c r="G51" s="85"/>
      <c r="H51" s="85"/>
      <c r="I51" s="85"/>
      <c r="J51" s="85"/>
      <c r="K51" s="85"/>
      <c r="L51" s="85"/>
      <c r="M51" s="85"/>
      <c r="N51" s="85"/>
      <c r="O51" s="85"/>
      <c r="P51" s="85"/>
      <c r="Q51" s="85"/>
      <c r="R51" s="85"/>
      <c r="S51" s="85"/>
      <c r="T51" s="85"/>
      <c r="U51" s="30"/>
    </row>
    <row r="52" spans="1:21" ht="20.25" customHeight="1">
      <c r="A52" s="29"/>
      <c r="B52" s="85"/>
      <c r="C52" s="85"/>
      <c r="D52" s="85"/>
      <c r="E52" s="85"/>
      <c r="F52" s="85"/>
      <c r="G52" s="85"/>
      <c r="H52" s="85"/>
      <c r="I52" s="85"/>
      <c r="J52" s="85"/>
      <c r="K52" s="85"/>
      <c r="L52" s="85"/>
      <c r="M52" s="85"/>
      <c r="N52" s="85"/>
      <c r="O52" s="85"/>
      <c r="P52" s="85"/>
      <c r="Q52" s="85"/>
      <c r="R52" s="85"/>
      <c r="S52" s="85"/>
      <c r="T52" s="85"/>
      <c r="U52" s="30"/>
    </row>
    <row r="53" spans="1:21" ht="20.25" customHeight="1">
      <c r="A53" s="29"/>
      <c r="U53" s="30"/>
    </row>
    <row r="54" spans="1:21" ht="20.25" customHeight="1">
      <c r="A54" s="29"/>
      <c r="B54" s="86" t="s">
        <v>653</v>
      </c>
      <c r="C54" s="86"/>
      <c r="D54" s="86"/>
      <c r="E54" s="86"/>
      <c r="F54" s="86"/>
      <c r="G54" s="86"/>
      <c r="H54" s="86"/>
      <c r="I54" s="86"/>
      <c r="U54" s="30"/>
    </row>
    <row r="55" spans="1:21" ht="20.25" customHeight="1">
      <c r="A55" s="29"/>
      <c r="B55" s="39" t="s">
        <v>654</v>
      </c>
      <c r="U55" s="30"/>
    </row>
    <row r="56" spans="1:21" ht="20.25" customHeight="1">
      <c r="A56" s="29"/>
      <c r="U56" s="30"/>
    </row>
    <row r="57" spans="1:21" ht="20.25" customHeight="1">
      <c r="A57" s="29"/>
      <c r="B57" s="37" t="s">
        <v>655</v>
      </c>
      <c r="U57" s="30"/>
    </row>
    <row r="58" spans="1:21" ht="20.25" customHeight="1">
      <c r="A58" s="29"/>
      <c r="B58" s="84" t="s">
        <v>956</v>
      </c>
      <c r="C58" s="84"/>
      <c r="D58" s="84"/>
      <c r="E58" s="84"/>
      <c r="F58" s="84"/>
      <c r="G58" s="84"/>
      <c r="H58" s="84"/>
      <c r="I58" s="84"/>
      <c r="J58" s="84"/>
      <c r="K58" s="84"/>
      <c r="L58" s="84"/>
      <c r="M58" s="84"/>
      <c r="N58" s="84"/>
      <c r="O58" s="84"/>
      <c r="P58" s="84"/>
      <c r="Q58" s="84"/>
      <c r="R58" s="84"/>
      <c r="S58" s="84"/>
      <c r="T58" s="84"/>
      <c r="U58" s="30"/>
    </row>
    <row r="59" spans="1:21" ht="20.25" customHeight="1">
      <c r="A59" s="29"/>
      <c r="B59" s="84"/>
      <c r="C59" s="84"/>
      <c r="D59" s="84"/>
      <c r="E59" s="84"/>
      <c r="F59" s="84"/>
      <c r="G59" s="84"/>
      <c r="H59" s="84"/>
      <c r="I59" s="84"/>
      <c r="J59" s="84"/>
      <c r="K59" s="84"/>
      <c r="L59" s="84"/>
      <c r="M59" s="84"/>
      <c r="N59" s="84"/>
      <c r="O59" s="84"/>
      <c r="P59" s="84"/>
      <c r="Q59" s="84"/>
      <c r="R59" s="84"/>
      <c r="S59" s="84"/>
      <c r="T59" s="84"/>
      <c r="U59" s="30"/>
    </row>
    <row r="60" spans="1:21" ht="20.25" customHeight="1">
      <c r="A60" s="29"/>
      <c r="B60" s="74" t="s">
        <v>967</v>
      </c>
      <c r="C60" s="75"/>
      <c r="D60" s="75"/>
      <c r="E60" s="75"/>
      <c r="F60" s="75"/>
      <c r="G60" s="75"/>
      <c r="H60" s="75"/>
      <c r="I60" s="75"/>
      <c r="J60" s="75"/>
      <c r="K60" s="75"/>
      <c r="L60" s="75"/>
      <c r="M60" s="75"/>
      <c r="N60" s="75"/>
      <c r="O60" s="75"/>
      <c r="P60" s="75"/>
      <c r="Q60" s="75"/>
      <c r="R60" s="75"/>
      <c r="S60" s="75"/>
      <c r="T60" s="76"/>
      <c r="U60" s="30"/>
    </row>
    <row r="61" spans="1:21" ht="20.25" customHeight="1">
      <c r="A61" s="29"/>
      <c r="B61" s="77"/>
      <c r="C61" s="78"/>
      <c r="D61" s="78"/>
      <c r="E61" s="78"/>
      <c r="F61" s="78"/>
      <c r="G61" s="78"/>
      <c r="H61" s="78"/>
      <c r="I61" s="78"/>
      <c r="J61" s="78"/>
      <c r="K61" s="78"/>
      <c r="L61" s="78"/>
      <c r="M61" s="78"/>
      <c r="N61" s="78"/>
      <c r="O61" s="78"/>
      <c r="P61" s="78"/>
      <c r="Q61" s="78"/>
      <c r="R61" s="78"/>
      <c r="S61" s="78"/>
      <c r="T61" s="79"/>
      <c r="U61" s="30"/>
    </row>
    <row r="62" spans="1:21" ht="20.25" customHeight="1">
      <c r="A62" s="29"/>
      <c r="B62" s="80"/>
      <c r="C62" s="81"/>
      <c r="D62" s="81"/>
      <c r="E62" s="81"/>
      <c r="F62" s="81"/>
      <c r="G62" s="81"/>
      <c r="H62" s="81"/>
      <c r="I62" s="81"/>
      <c r="J62" s="81"/>
      <c r="K62" s="81"/>
      <c r="L62" s="81"/>
      <c r="M62" s="81"/>
      <c r="N62" s="81"/>
      <c r="O62" s="81"/>
      <c r="P62" s="81"/>
      <c r="Q62" s="81"/>
      <c r="R62" s="81"/>
      <c r="S62" s="81"/>
      <c r="T62" s="82"/>
      <c r="U62" s="30"/>
    </row>
    <row r="63" spans="1:21" ht="20.25" customHeight="1">
      <c r="A63" s="29"/>
      <c r="B63" s="33"/>
      <c r="C63" s="33"/>
      <c r="D63" s="33"/>
      <c r="E63" s="33"/>
      <c r="F63" s="33"/>
      <c r="G63" s="33"/>
      <c r="H63" s="33"/>
      <c r="I63" s="33"/>
      <c r="J63" s="33"/>
      <c r="K63" s="33"/>
      <c r="L63" s="33"/>
      <c r="M63" s="33"/>
      <c r="N63" s="33"/>
      <c r="O63" s="33"/>
      <c r="P63" s="33"/>
      <c r="Q63" s="33"/>
      <c r="R63" s="33"/>
      <c r="S63" s="33"/>
      <c r="T63" s="33"/>
      <c r="U63" s="30"/>
    </row>
    <row r="64" spans="1:21" ht="20.25" customHeight="1">
      <c r="A64" s="29"/>
      <c r="B64" s="83" t="s">
        <v>656</v>
      </c>
      <c r="C64" s="83"/>
      <c r="D64" s="83"/>
      <c r="E64" s="83"/>
      <c r="F64" s="83"/>
      <c r="G64" s="83"/>
      <c r="U64" s="30"/>
    </row>
    <row r="65" spans="1:21" ht="20.25" customHeight="1">
      <c r="A65" s="29"/>
      <c r="B65" s="84" t="s">
        <v>673</v>
      </c>
      <c r="C65" s="85"/>
      <c r="D65" s="85"/>
      <c r="E65" s="85"/>
      <c r="F65" s="85"/>
      <c r="G65" s="85"/>
      <c r="H65" s="85"/>
      <c r="I65" s="85"/>
      <c r="J65" s="85"/>
      <c r="K65" s="85"/>
      <c r="L65" s="85"/>
      <c r="M65" s="85"/>
      <c r="N65" s="85"/>
      <c r="O65" s="85"/>
      <c r="P65" s="85"/>
      <c r="Q65" s="85"/>
      <c r="R65" s="85"/>
      <c r="S65" s="85"/>
      <c r="T65" s="85"/>
      <c r="U65" s="30"/>
    </row>
    <row r="66" spans="1:21" ht="20.25" customHeight="1">
      <c r="A66" s="29"/>
      <c r="B66" s="85"/>
      <c r="C66" s="85"/>
      <c r="D66" s="85"/>
      <c r="E66" s="85"/>
      <c r="F66" s="85"/>
      <c r="G66" s="85"/>
      <c r="H66" s="85"/>
      <c r="I66" s="85"/>
      <c r="J66" s="85"/>
      <c r="K66" s="85"/>
      <c r="L66" s="85"/>
      <c r="M66" s="85"/>
      <c r="N66" s="85"/>
      <c r="O66" s="85"/>
      <c r="P66" s="85"/>
      <c r="Q66" s="85"/>
      <c r="R66" s="85"/>
      <c r="S66" s="85"/>
      <c r="T66" s="85"/>
      <c r="U66" s="30"/>
    </row>
    <row r="67" spans="1:21" ht="20.25" customHeight="1">
      <c r="A67" s="29"/>
      <c r="B67" s="85"/>
      <c r="C67" s="85"/>
      <c r="D67" s="85"/>
      <c r="E67" s="85"/>
      <c r="F67" s="85"/>
      <c r="G67" s="85"/>
      <c r="H67" s="85"/>
      <c r="I67" s="85"/>
      <c r="J67" s="85"/>
      <c r="K67" s="85"/>
      <c r="L67" s="85"/>
      <c r="M67" s="85"/>
      <c r="N67" s="85"/>
      <c r="O67" s="85"/>
      <c r="P67" s="85"/>
      <c r="Q67" s="85"/>
      <c r="R67" s="85"/>
      <c r="S67" s="85"/>
      <c r="T67" s="85"/>
      <c r="U67" s="30"/>
    </row>
    <row r="68" spans="1:21" ht="20.25" customHeight="1">
      <c r="A68" s="29"/>
      <c r="B68" s="85"/>
      <c r="C68" s="85"/>
      <c r="D68" s="85"/>
      <c r="E68" s="85"/>
      <c r="F68" s="85"/>
      <c r="G68" s="85"/>
      <c r="H68" s="85"/>
      <c r="I68" s="85"/>
      <c r="J68" s="85"/>
      <c r="K68" s="85"/>
      <c r="L68" s="85"/>
      <c r="M68" s="85"/>
      <c r="N68" s="85"/>
      <c r="O68" s="85"/>
      <c r="P68" s="85"/>
      <c r="Q68" s="85"/>
      <c r="R68" s="85"/>
      <c r="S68" s="85"/>
      <c r="T68" s="85"/>
      <c r="U68" s="30"/>
    </row>
    <row r="69" spans="1:21" ht="20.25" customHeight="1">
      <c r="A69" s="29"/>
      <c r="B69" s="85"/>
      <c r="C69" s="85"/>
      <c r="D69" s="85"/>
      <c r="E69" s="85"/>
      <c r="F69" s="85"/>
      <c r="G69" s="85"/>
      <c r="H69" s="85"/>
      <c r="I69" s="85"/>
      <c r="J69" s="85"/>
      <c r="K69" s="85"/>
      <c r="L69" s="85"/>
      <c r="M69" s="85"/>
      <c r="N69" s="85"/>
      <c r="O69" s="85"/>
      <c r="P69" s="85"/>
      <c r="Q69" s="85"/>
      <c r="R69" s="85"/>
      <c r="S69" s="85"/>
      <c r="T69" s="85"/>
      <c r="U69" s="30"/>
    </row>
    <row r="70" spans="1:21" ht="20.25" customHeight="1">
      <c r="A70" s="29"/>
      <c r="B70" s="85"/>
      <c r="C70" s="85"/>
      <c r="D70" s="85"/>
      <c r="E70" s="85"/>
      <c r="F70" s="85"/>
      <c r="G70" s="85"/>
      <c r="H70" s="85"/>
      <c r="I70" s="85"/>
      <c r="J70" s="85"/>
      <c r="K70" s="85"/>
      <c r="L70" s="85"/>
      <c r="M70" s="85"/>
      <c r="N70" s="85"/>
      <c r="O70" s="85"/>
      <c r="P70" s="85"/>
      <c r="Q70" s="85"/>
      <c r="R70" s="85"/>
      <c r="S70" s="85"/>
      <c r="T70" s="85"/>
      <c r="U70" s="30"/>
    </row>
    <row r="71" spans="1:21" ht="20.25" customHeight="1">
      <c r="A71" s="29"/>
      <c r="B71" s="85"/>
      <c r="C71" s="85"/>
      <c r="D71" s="85"/>
      <c r="E71" s="85"/>
      <c r="F71" s="85"/>
      <c r="G71" s="85"/>
      <c r="H71" s="85"/>
      <c r="I71" s="85"/>
      <c r="J71" s="85"/>
      <c r="K71" s="85"/>
      <c r="L71" s="85"/>
      <c r="M71" s="85"/>
      <c r="N71" s="85"/>
      <c r="O71" s="85"/>
      <c r="P71" s="85"/>
      <c r="Q71" s="85"/>
      <c r="R71" s="85"/>
      <c r="S71" s="85"/>
      <c r="T71" s="85"/>
      <c r="U71" s="30"/>
    </row>
    <row r="72" spans="1:21" ht="20.25" customHeight="1">
      <c r="A72" s="29"/>
      <c r="B72" s="85"/>
      <c r="C72" s="85"/>
      <c r="D72" s="85"/>
      <c r="E72" s="85"/>
      <c r="F72" s="85"/>
      <c r="G72" s="85"/>
      <c r="H72" s="85"/>
      <c r="I72" s="85"/>
      <c r="J72" s="85"/>
      <c r="K72" s="85"/>
      <c r="L72" s="85"/>
      <c r="M72" s="85"/>
      <c r="N72" s="85"/>
      <c r="O72" s="85"/>
      <c r="P72" s="85"/>
      <c r="Q72" s="85"/>
      <c r="R72" s="85"/>
      <c r="S72" s="85"/>
      <c r="T72" s="85"/>
      <c r="U72" s="30"/>
    </row>
    <row r="73" spans="1:21" ht="46.5" customHeight="1">
      <c r="A73" s="29"/>
      <c r="B73" s="85"/>
      <c r="C73" s="85"/>
      <c r="D73" s="85"/>
      <c r="E73" s="85"/>
      <c r="F73" s="85"/>
      <c r="G73" s="85"/>
      <c r="H73" s="85"/>
      <c r="I73" s="85"/>
      <c r="J73" s="85"/>
      <c r="K73" s="85"/>
      <c r="L73" s="85"/>
      <c r="M73" s="85"/>
      <c r="N73" s="85"/>
      <c r="O73" s="85"/>
      <c r="P73" s="85"/>
      <c r="Q73" s="85"/>
      <c r="R73" s="85"/>
      <c r="S73" s="85"/>
      <c r="T73" s="85"/>
      <c r="U73" s="30"/>
    </row>
    <row r="74" spans="1:21" ht="20.25" customHeight="1">
      <c r="A74" s="29"/>
      <c r="B74" s="84" t="str">
        <f>"  "&amp;"- 물품내용 등 기술관련사항 :"&amp;입력창!$B$14&amp;" "&amp;입력창!$C$14&amp;"☏("&amp;입력창!$D$14&amp;")"</f>
        <v xml:space="preserve">  - 물품내용 등 기술관련사항 :시설사업1부 000 감독☏(031-959-9097)</v>
      </c>
      <c r="C74" s="84"/>
      <c r="D74" s="84"/>
      <c r="E74" s="84"/>
      <c r="F74" s="84"/>
      <c r="G74" s="84"/>
      <c r="H74" s="84"/>
      <c r="I74" s="84"/>
      <c r="J74" s="84"/>
      <c r="K74" s="84"/>
      <c r="L74" s="84"/>
      <c r="M74" s="84"/>
      <c r="N74" s="84"/>
      <c r="O74" s="84"/>
      <c r="P74" s="84"/>
      <c r="Q74" s="84"/>
      <c r="R74" s="84"/>
      <c r="S74" s="84"/>
      <c r="T74" s="84"/>
      <c r="U74" s="30"/>
    </row>
    <row r="75" spans="1:21" ht="20.25" customHeight="1">
      <c r="A75" s="29"/>
      <c r="B75" s="84" t="str">
        <f>"  "&amp;"- 입찰․계약 관련사항 :"&amp;입력창!$B$17&amp;" "&amp;입력창!$C$17&amp;"☏("&amp;입력창!D$17&amp;")"</f>
        <v xml:space="preserve">  - 입찰․계약 관련사항 :환경서비스지원부 000 주임 ☏(02-3153-5410)</v>
      </c>
      <c r="C75" s="84"/>
      <c r="D75" s="84"/>
      <c r="E75" s="84"/>
      <c r="F75" s="84"/>
      <c r="G75" s="84"/>
      <c r="H75" s="84"/>
      <c r="I75" s="84"/>
      <c r="J75" s="84"/>
      <c r="K75" s="84"/>
      <c r="L75" s="84"/>
      <c r="M75" s="84"/>
      <c r="N75" s="84"/>
      <c r="O75" s="84"/>
      <c r="P75" s="84"/>
      <c r="Q75" s="84"/>
      <c r="R75" s="84"/>
      <c r="S75" s="84"/>
      <c r="T75" s="84"/>
      <c r="U75" s="30"/>
    </row>
    <row r="76" spans="1:21" ht="20.25" customHeight="1">
      <c r="A76" s="29"/>
      <c r="U76" s="30"/>
    </row>
    <row r="77" spans="1:21" ht="20.25" customHeight="1">
      <c r="A77" s="29"/>
      <c r="B77" s="90" t="s">
        <v>662</v>
      </c>
      <c r="C77" s="90"/>
      <c r="D77" s="90"/>
      <c r="E77" s="90"/>
      <c r="F77" s="90"/>
      <c r="G77" s="90"/>
      <c r="H77" s="90"/>
      <c r="I77" s="90"/>
      <c r="J77" s="90"/>
      <c r="K77" s="90"/>
      <c r="L77" s="90"/>
      <c r="M77" s="90"/>
      <c r="N77" s="90"/>
      <c r="O77" s="90"/>
      <c r="P77" s="90"/>
      <c r="Q77" s="90"/>
      <c r="R77" s="90"/>
      <c r="S77" s="90"/>
      <c r="T77" s="90"/>
      <c r="U77" s="30"/>
    </row>
    <row r="78" spans="1:21" ht="20.25" customHeight="1">
      <c r="A78" s="29"/>
      <c r="B78" s="39"/>
      <c r="C78" s="39"/>
      <c r="D78" s="39"/>
      <c r="E78" s="39"/>
      <c r="F78" s="39"/>
      <c r="G78" s="39"/>
      <c r="H78" s="39"/>
      <c r="I78" s="39"/>
      <c r="J78" s="39"/>
      <c r="K78" s="39"/>
      <c r="L78" s="39"/>
      <c r="M78" s="39"/>
      <c r="N78" s="39"/>
      <c r="O78" s="39"/>
      <c r="P78" s="39"/>
      <c r="Q78" s="39"/>
      <c r="R78" s="39"/>
      <c r="S78" s="39"/>
      <c r="T78" s="39"/>
      <c r="U78" s="30"/>
    </row>
    <row r="79" spans="1:21" ht="20.25" customHeight="1">
      <c r="A79" s="29"/>
      <c r="B79" s="39"/>
      <c r="C79" s="39"/>
      <c r="D79" s="39"/>
      <c r="E79" s="39"/>
      <c r="F79" s="39"/>
      <c r="G79" s="39"/>
      <c r="H79" s="39"/>
      <c r="I79" s="39"/>
      <c r="J79" s="39"/>
      <c r="K79" s="39"/>
      <c r="L79" s="39"/>
      <c r="M79" s="39"/>
      <c r="N79" s="39"/>
      <c r="O79" s="39"/>
      <c r="P79" s="39"/>
      <c r="Q79" s="39"/>
      <c r="R79" s="92">
        <f ca="1">TODAY()</f>
        <v>46007</v>
      </c>
      <c r="S79" s="92"/>
      <c r="T79" s="92"/>
      <c r="U79" s="30"/>
    </row>
    <row r="80" spans="1:21" ht="20.25" customHeight="1">
      <c r="A80" s="29"/>
      <c r="U80" s="30"/>
    </row>
    <row r="81" spans="1:21" ht="20.25" customHeight="1">
      <c r="A81" s="29"/>
      <c r="B81" s="91" t="s">
        <v>955</v>
      </c>
      <c r="C81" s="91"/>
      <c r="D81" s="91"/>
      <c r="E81" s="91"/>
      <c r="F81" s="91"/>
      <c r="G81" s="91"/>
      <c r="H81" s="91"/>
      <c r="I81" s="91"/>
      <c r="J81" s="91"/>
      <c r="K81" s="91"/>
      <c r="L81" s="91"/>
      <c r="M81" s="91"/>
      <c r="N81" s="91"/>
      <c r="O81" s="91"/>
      <c r="P81" s="91"/>
      <c r="Q81" s="91"/>
      <c r="R81" s="91"/>
      <c r="S81" s="91"/>
      <c r="T81" s="91"/>
      <c r="U81" s="30"/>
    </row>
    <row r="82" spans="1:21" ht="20.25" customHeight="1" thickBot="1">
      <c r="A82" s="34"/>
      <c r="B82" s="35"/>
      <c r="C82" s="35"/>
      <c r="D82" s="35"/>
      <c r="E82" s="35"/>
      <c r="F82" s="35"/>
      <c r="G82" s="35"/>
      <c r="H82" s="35"/>
      <c r="I82" s="35"/>
      <c r="J82" s="35"/>
      <c r="K82" s="35"/>
      <c r="L82" s="35"/>
      <c r="M82" s="35"/>
      <c r="N82" s="35"/>
      <c r="O82" s="35"/>
      <c r="P82" s="35"/>
      <c r="Q82" s="35"/>
      <c r="R82" s="35"/>
      <c r="S82" s="35"/>
      <c r="T82" s="35"/>
      <c r="U82" s="36"/>
    </row>
  </sheetData>
  <mergeCells count="54">
    <mergeCell ref="B17:K17"/>
    <mergeCell ref="B32:T32"/>
    <mergeCell ref="B35:T35"/>
    <mergeCell ref="B33:T33"/>
    <mergeCell ref="B25:S25"/>
    <mergeCell ref="B26:T26"/>
    <mergeCell ref="B19:S19"/>
    <mergeCell ref="B20:S20"/>
    <mergeCell ref="B77:T77"/>
    <mergeCell ref="B81:T81"/>
    <mergeCell ref="R79:T79"/>
    <mergeCell ref="B21:T21"/>
    <mergeCell ref="B22:T23"/>
    <mergeCell ref="B27:T27"/>
    <mergeCell ref="B28:T28"/>
    <mergeCell ref="B75:T75"/>
    <mergeCell ref="B34:T34"/>
    <mergeCell ref="B37:S37"/>
    <mergeCell ref="B38:S38"/>
    <mergeCell ref="B29:T29"/>
    <mergeCell ref="B30:T30"/>
    <mergeCell ref="B31:T31"/>
    <mergeCell ref="C5:S6"/>
    <mergeCell ref="B60:T62"/>
    <mergeCell ref="B64:G64"/>
    <mergeCell ref="B65:T73"/>
    <mergeCell ref="B74:T74"/>
    <mergeCell ref="B54:I54"/>
    <mergeCell ref="B58:T59"/>
    <mergeCell ref="B50:T50"/>
    <mergeCell ref="B51:T52"/>
    <mergeCell ref="B49:I49"/>
    <mergeCell ref="B40:T40"/>
    <mergeCell ref="B41:T41"/>
    <mergeCell ref="B42:T42"/>
    <mergeCell ref="B43:T43"/>
    <mergeCell ref="B39:S39"/>
    <mergeCell ref="B44:T46"/>
    <mergeCell ref="B8:K8"/>
    <mergeCell ref="B9:C9"/>
    <mergeCell ref="B18:S18"/>
    <mergeCell ref="K14:P14"/>
    <mergeCell ref="F15:I15"/>
    <mergeCell ref="B12:S12"/>
    <mergeCell ref="B13:S13"/>
    <mergeCell ref="B14:E14"/>
    <mergeCell ref="B15:E15"/>
    <mergeCell ref="D9:S9"/>
    <mergeCell ref="B10:C10"/>
    <mergeCell ref="D10:S10"/>
    <mergeCell ref="B11:C11"/>
    <mergeCell ref="D11:S11"/>
    <mergeCell ref="F14:I14"/>
    <mergeCell ref="L15:O15"/>
  </mergeCells>
  <phoneticPr fontId="3" type="noConversion"/>
  <pageMargins left="0" right="0" top="0.19685039370078741" bottom="0.19685039370078741" header="0" footer="0"/>
  <pageSetup paperSize="9" scale="74" fitToHeight="0" orientation="portrait" r:id="rId1"/>
  <rowBreaks count="1" manualBreakCount="1">
    <brk id="46" max="20"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769"/>
  <sheetViews>
    <sheetView workbookViewId="0">
      <selection activeCell="C109" sqref="C109"/>
    </sheetView>
  </sheetViews>
  <sheetFormatPr defaultRowHeight="17.399999999999999"/>
  <cols>
    <col min="2" max="2" width="20.3984375" bestFit="1" customWidth="1"/>
    <col min="4" max="4" width="33.09765625" customWidth="1"/>
  </cols>
  <sheetData>
    <row r="1" spans="1:4" ht="18" thickTop="1">
      <c r="A1" s="54">
        <v>101716</v>
      </c>
      <c r="B1" s="55" t="s">
        <v>679</v>
      </c>
      <c r="C1" s="1">
        <v>1017161101</v>
      </c>
      <c r="D1" s="2" t="s">
        <v>448</v>
      </c>
    </row>
    <row r="2" spans="1:4">
      <c r="A2" s="44"/>
      <c r="B2" s="3"/>
      <c r="C2" s="44">
        <v>1017169401</v>
      </c>
      <c r="D2" s="3" t="s">
        <v>447</v>
      </c>
    </row>
    <row r="3" spans="1:4">
      <c r="A3" s="44">
        <v>111015</v>
      </c>
      <c r="B3" s="3" t="s">
        <v>680</v>
      </c>
      <c r="C3" s="44">
        <v>1110152201</v>
      </c>
      <c r="D3" s="3" t="s">
        <v>533</v>
      </c>
    </row>
    <row r="4" spans="1:4">
      <c r="A4" s="47">
        <v>111116</v>
      </c>
      <c r="B4" s="8" t="s">
        <v>681</v>
      </c>
      <c r="C4" s="44">
        <v>1111160401</v>
      </c>
      <c r="D4" s="3" t="s">
        <v>444</v>
      </c>
    </row>
    <row r="5" spans="1:4">
      <c r="A5" s="50"/>
      <c r="B5" s="51"/>
      <c r="C5" s="44">
        <v>1111160801</v>
      </c>
      <c r="D5" s="3" t="s">
        <v>446</v>
      </c>
    </row>
    <row r="6" spans="1:4">
      <c r="A6" s="50"/>
      <c r="B6" s="51"/>
      <c r="C6" s="44">
        <v>1111169701</v>
      </c>
      <c r="D6" s="3" t="s">
        <v>445</v>
      </c>
    </row>
    <row r="7" spans="1:4">
      <c r="A7" s="44"/>
      <c r="B7" s="3"/>
      <c r="C7" s="44">
        <v>1111169801</v>
      </c>
      <c r="D7" s="3" t="s">
        <v>442</v>
      </c>
    </row>
    <row r="8" spans="1:4">
      <c r="A8" s="44">
        <v>111220</v>
      </c>
      <c r="B8" s="3" t="s">
        <v>682</v>
      </c>
      <c r="C8" s="44">
        <v>1112200601</v>
      </c>
      <c r="D8" s="3" t="s">
        <v>227</v>
      </c>
    </row>
    <row r="9" spans="1:4">
      <c r="A9" s="44">
        <v>111616</v>
      </c>
      <c r="B9" s="3" t="s">
        <v>683</v>
      </c>
      <c r="C9" s="44">
        <v>1116160101</v>
      </c>
      <c r="D9" s="3" t="s">
        <v>286</v>
      </c>
    </row>
    <row r="10" spans="1:4">
      <c r="A10" s="44">
        <v>111618</v>
      </c>
      <c r="B10" s="3" t="s">
        <v>684</v>
      </c>
      <c r="C10" s="44">
        <v>1116180101</v>
      </c>
      <c r="D10" s="3" t="s">
        <v>285</v>
      </c>
    </row>
    <row r="11" spans="1:4">
      <c r="A11" s="44">
        <v>131112</v>
      </c>
      <c r="B11" s="3" t="s">
        <v>685</v>
      </c>
      <c r="C11" s="44">
        <v>1311120101</v>
      </c>
      <c r="D11" s="3" t="s">
        <v>526</v>
      </c>
    </row>
    <row r="12" spans="1:4">
      <c r="A12" s="50">
        <v>141115</v>
      </c>
      <c r="B12" s="51" t="s">
        <v>686</v>
      </c>
      <c r="C12" s="44">
        <v>1411150601</v>
      </c>
      <c r="D12" s="3" t="s">
        <v>317</v>
      </c>
    </row>
    <row r="13" spans="1:4">
      <c r="A13" s="47"/>
      <c r="B13" s="8"/>
      <c r="C13" s="44">
        <v>1411150701</v>
      </c>
      <c r="D13" s="3" t="s">
        <v>230</v>
      </c>
    </row>
    <row r="14" spans="1:4">
      <c r="A14" s="47"/>
      <c r="B14" s="8"/>
      <c r="C14" s="44">
        <v>1411151101</v>
      </c>
      <c r="D14" s="3" t="s">
        <v>231</v>
      </c>
    </row>
    <row r="15" spans="1:4">
      <c r="A15" s="50"/>
      <c r="B15" s="51"/>
      <c r="C15" s="44">
        <v>1411151401</v>
      </c>
      <c r="D15" s="3" t="s">
        <v>316</v>
      </c>
    </row>
    <row r="16" spans="1:4">
      <c r="A16" s="46"/>
      <c r="B16" s="45"/>
      <c r="C16" s="44">
        <v>1411151402</v>
      </c>
      <c r="D16" s="3" t="s">
        <v>315</v>
      </c>
    </row>
    <row r="17" spans="1:4">
      <c r="A17" s="44">
        <v>141116</v>
      </c>
      <c r="B17" s="3" t="s">
        <v>687</v>
      </c>
      <c r="C17" s="44">
        <v>1411160501</v>
      </c>
      <c r="D17" s="3" t="s">
        <v>311</v>
      </c>
    </row>
    <row r="18" spans="1:4">
      <c r="A18" s="44">
        <v>141117</v>
      </c>
      <c r="B18" s="3" t="s">
        <v>688</v>
      </c>
      <c r="C18" s="44">
        <v>1411170401</v>
      </c>
      <c r="D18" s="3" t="s">
        <v>235</v>
      </c>
    </row>
    <row r="19" spans="1:4">
      <c r="A19" s="47">
        <v>141118</v>
      </c>
      <c r="B19" s="8" t="s">
        <v>689</v>
      </c>
      <c r="C19" s="44">
        <v>1411180101</v>
      </c>
      <c r="D19" s="3" t="s">
        <v>319</v>
      </c>
    </row>
    <row r="20" spans="1:4">
      <c r="A20" s="47"/>
      <c r="B20" s="8"/>
      <c r="C20" s="44">
        <v>1411180606</v>
      </c>
      <c r="D20" s="3" t="s">
        <v>309</v>
      </c>
    </row>
    <row r="21" spans="1:4">
      <c r="A21" s="44"/>
      <c r="B21" s="3"/>
      <c r="C21" s="44">
        <v>1411189901</v>
      </c>
      <c r="D21" s="3" t="s">
        <v>312</v>
      </c>
    </row>
    <row r="22" spans="1:4">
      <c r="A22" s="44">
        <v>141219</v>
      </c>
      <c r="B22" s="3" t="s">
        <v>690</v>
      </c>
      <c r="C22" s="44">
        <v>1412199901</v>
      </c>
      <c r="D22" s="3" t="s">
        <v>229</v>
      </c>
    </row>
    <row r="23" spans="1:4">
      <c r="A23" s="47">
        <v>211015</v>
      </c>
      <c r="B23" s="8" t="s">
        <v>691</v>
      </c>
      <c r="C23" s="44">
        <v>2110150101</v>
      </c>
      <c r="D23" s="3" t="s">
        <v>112</v>
      </c>
    </row>
    <row r="24" spans="1:4">
      <c r="A24" s="47"/>
      <c r="B24" s="8"/>
      <c r="C24" s="44">
        <v>2110150201</v>
      </c>
      <c r="D24" s="3" t="s">
        <v>108</v>
      </c>
    </row>
    <row r="25" spans="1:4">
      <c r="A25" s="44"/>
      <c r="B25" s="3"/>
      <c r="C25" s="44">
        <v>2110150601</v>
      </c>
      <c r="D25" s="3" t="s">
        <v>113</v>
      </c>
    </row>
    <row r="26" spans="1:4">
      <c r="A26" s="47">
        <v>211017</v>
      </c>
      <c r="B26" s="8" t="s">
        <v>692</v>
      </c>
      <c r="C26" s="44">
        <v>2110170301</v>
      </c>
      <c r="D26" s="3" t="s">
        <v>109</v>
      </c>
    </row>
    <row r="27" spans="1:4">
      <c r="A27" s="47"/>
      <c r="B27" s="8"/>
      <c r="C27" s="44">
        <v>2110170601</v>
      </c>
      <c r="D27" s="3" t="s">
        <v>111</v>
      </c>
    </row>
    <row r="28" spans="1:4">
      <c r="A28" s="44"/>
      <c r="B28" s="3"/>
      <c r="C28" s="44">
        <v>2110171001</v>
      </c>
      <c r="D28" s="3" t="s">
        <v>110</v>
      </c>
    </row>
    <row r="29" spans="1:4">
      <c r="A29" s="47">
        <v>211018</v>
      </c>
      <c r="B29" s="8" t="s">
        <v>693</v>
      </c>
      <c r="C29" s="44">
        <v>2110180101</v>
      </c>
      <c r="D29" s="3" t="s">
        <v>103</v>
      </c>
    </row>
    <row r="30" spans="1:4">
      <c r="A30" s="47"/>
      <c r="B30" s="8"/>
      <c r="C30" s="44">
        <v>2110180401</v>
      </c>
      <c r="D30" s="3" t="s">
        <v>104</v>
      </c>
    </row>
    <row r="31" spans="1:4">
      <c r="A31" s="47"/>
      <c r="B31" s="8"/>
      <c r="C31" s="44">
        <v>2110180601</v>
      </c>
      <c r="D31" s="3" t="s">
        <v>114</v>
      </c>
    </row>
    <row r="32" spans="1:4">
      <c r="A32" s="44"/>
      <c r="B32" s="3"/>
      <c r="C32" s="44">
        <v>2110189901</v>
      </c>
      <c r="D32" s="3" t="s">
        <v>102</v>
      </c>
    </row>
    <row r="33" spans="1:4">
      <c r="A33" s="44">
        <v>211019</v>
      </c>
      <c r="B33" s="3" t="s">
        <v>694</v>
      </c>
      <c r="C33" s="44">
        <v>2110190401</v>
      </c>
      <c r="D33" s="3" t="s">
        <v>105</v>
      </c>
    </row>
    <row r="34" spans="1:4">
      <c r="A34" s="44">
        <v>211020</v>
      </c>
      <c r="B34" s="3" t="s">
        <v>695</v>
      </c>
      <c r="C34" s="44">
        <v>2110209801</v>
      </c>
      <c r="D34" s="3" t="s">
        <v>101</v>
      </c>
    </row>
    <row r="35" spans="1:4">
      <c r="A35" s="47">
        <v>231815</v>
      </c>
      <c r="B35" s="8" t="s">
        <v>696</v>
      </c>
      <c r="C35" s="44">
        <v>2318150601</v>
      </c>
      <c r="D35" s="3" t="s">
        <v>179</v>
      </c>
    </row>
    <row r="36" spans="1:4">
      <c r="A36" s="47"/>
      <c r="B36" s="8"/>
      <c r="C36" s="44">
        <v>2318150602</v>
      </c>
      <c r="D36" s="3" t="s">
        <v>107</v>
      </c>
    </row>
    <row r="37" spans="1:4">
      <c r="A37" s="46"/>
      <c r="B37" s="45"/>
      <c r="C37" s="44">
        <v>2318150603</v>
      </c>
      <c r="D37" s="3" t="s">
        <v>106</v>
      </c>
    </row>
    <row r="38" spans="1:4">
      <c r="A38" s="44">
        <v>231819</v>
      </c>
      <c r="B38" s="3" t="s">
        <v>697</v>
      </c>
      <c r="C38" s="44">
        <v>2318199801</v>
      </c>
      <c r="D38" s="4" t="s">
        <v>161</v>
      </c>
    </row>
    <row r="39" spans="1:4">
      <c r="A39" s="44">
        <v>232615</v>
      </c>
      <c r="B39" s="3" t="s">
        <v>698</v>
      </c>
      <c r="C39" s="44">
        <v>2326150701</v>
      </c>
      <c r="D39" s="3" t="s">
        <v>699</v>
      </c>
    </row>
    <row r="40" spans="1:4">
      <c r="A40" s="44">
        <v>239905</v>
      </c>
      <c r="B40" s="3" t="s">
        <v>700</v>
      </c>
      <c r="C40" s="44">
        <v>2399059901</v>
      </c>
      <c r="D40" s="3" t="s">
        <v>143</v>
      </c>
    </row>
    <row r="41" spans="1:4">
      <c r="A41" s="47">
        <v>241016</v>
      </c>
      <c r="B41" s="8" t="s">
        <v>701</v>
      </c>
      <c r="C41" s="44">
        <v>2410160101</v>
      </c>
      <c r="D41" s="3" t="s">
        <v>151</v>
      </c>
    </row>
    <row r="42" spans="1:4">
      <c r="A42" s="47"/>
      <c r="B42" s="8"/>
      <c r="C42" s="44">
        <v>2410160102</v>
      </c>
      <c r="D42" s="3" t="s">
        <v>152</v>
      </c>
    </row>
    <row r="43" spans="1:4">
      <c r="A43" s="47"/>
      <c r="B43" s="8"/>
      <c r="C43" s="44">
        <v>2410160201</v>
      </c>
      <c r="D43" s="3" t="s">
        <v>185</v>
      </c>
    </row>
    <row r="44" spans="1:4">
      <c r="A44" s="47"/>
      <c r="B44" s="8"/>
      <c r="C44" s="44">
        <v>2410164201</v>
      </c>
      <c r="D44" s="3" t="s">
        <v>578</v>
      </c>
    </row>
    <row r="45" spans="1:4">
      <c r="A45" s="47"/>
      <c r="B45" s="8"/>
      <c r="C45" s="44">
        <v>2410165201</v>
      </c>
      <c r="D45" s="3" t="s">
        <v>183</v>
      </c>
    </row>
    <row r="46" spans="1:4">
      <c r="A46" s="47"/>
      <c r="B46" s="8"/>
      <c r="C46" s="44">
        <v>2410165301</v>
      </c>
      <c r="D46" s="3" t="s">
        <v>184</v>
      </c>
    </row>
    <row r="47" spans="1:4">
      <c r="A47" s="47"/>
      <c r="B47" s="8"/>
      <c r="C47" s="44">
        <v>2410167601</v>
      </c>
      <c r="D47" s="3" t="s">
        <v>145</v>
      </c>
    </row>
    <row r="48" spans="1:4">
      <c r="A48" s="47"/>
      <c r="B48" s="8"/>
      <c r="C48" s="44">
        <v>2410168201</v>
      </c>
      <c r="D48" s="3" t="s">
        <v>150</v>
      </c>
    </row>
    <row r="49" spans="1:4">
      <c r="A49" s="47"/>
      <c r="B49" s="8"/>
      <c r="C49" s="44">
        <v>2410168501</v>
      </c>
      <c r="D49" s="3" t="s">
        <v>149</v>
      </c>
    </row>
    <row r="50" spans="1:4">
      <c r="A50" s="47"/>
      <c r="B50" s="8"/>
      <c r="C50" s="44">
        <v>2410168901</v>
      </c>
      <c r="D50" s="3" t="s">
        <v>169</v>
      </c>
    </row>
    <row r="51" spans="1:4">
      <c r="A51" s="47"/>
      <c r="B51" s="8"/>
      <c r="C51" s="44">
        <v>2410168903</v>
      </c>
      <c r="D51" s="3" t="s">
        <v>170</v>
      </c>
    </row>
    <row r="52" spans="1:4">
      <c r="A52" s="50"/>
      <c r="B52" s="51"/>
      <c r="C52" s="44">
        <v>2410168906</v>
      </c>
      <c r="D52" s="3" t="s">
        <v>167</v>
      </c>
    </row>
    <row r="53" spans="1:4">
      <c r="A53" s="50"/>
      <c r="B53" s="51"/>
      <c r="C53" s="44">
        <v>2410168907</v>
      </c>
      <c r="D53" s="3" t="s">
        <v>168</v>
      </c>
    </row>
    <row r="54" spans="1:4">
      <c r="A54" s="50"/>
      <c r="B54" s="51"/>
      <c r="C54" s="44">
        <v>2410168909</v>
      </c>
      <c r="D54" s="3" t="s">
        <v>171</v>
      </c>
    </row>
    <row r="55" spans="1:4">
      <c r="A55" s="50"/>
      <c r="B55" s="51"/>
      <c r="C55" s="44">
        <v>2410169601</v>
      </c>
      <c r="D55" s="3" t="s">
        <v>153</v>
      </c>
    </row>
    <row r="56" spans="1:4">
      <c r="A56" s="50">
        <v>241017</v>
      </c>
      <c r="B56" s="51" t="s">
        <v>702</v>
      </c>
      <c r="C56" s="44">
        <v>2410171201</v>
      </c>
      <c r="D56" s="3" t="s">
        <v>202</v>
      </c>
    </row>
    <row r="57" spans="1:4">
      <c r="A57" s="47"/>
      <c r="B57" s="8"/>
      <c r="C57" s="44">
        <v>2410171401</v>
      </c>
      <c r="D57" s="3" t="s">
        <v>208</v>
      </c>
    </row>
    <row r="58" spans="1:4">
      <c r="A58" s="47"/>
      <c r="B58" s="8"/>
      <c r="C58" s="44">
        <v>2410172201</v>
      </c>
      <c r="D58" s="3" t="s">
        <v>214</v>
      </c>
    </row>
    <row r="59" spans="1:4">
      <c r="A59" s="44"/>
      <c r="B59" s="3"/>
      <c r="C59" s="44">
        <v>2410173001</v>
      </c>
      <c r="D59" s="3" t="s">
        <v>206</v>
      </c>
    </row>
    <row r="60" spans="1:4">
      <c r="A60" s="44">
        <v>241022</v>
      </c>
      <c r="B60" s="3" t="s">
        <v>703</v>
      </c>
      <c r="C60" s="44">
        <v>2410229801</v>
      </c>
      <c r="D60" s="3" t="s">
        <v>165</v>
      </c>
    </row>
    <row r="61" spans="1:4">
      <c r="A61" s="48">
        <v>241115</v>
      </c>
      <c r="B61" s="49" t="s">
        <v>704</v>
      </c>
      <c r="C61" s="44">
        <v>2411150201</v>
      </c>
      <c r="D61" s="3" t="s">
        <v>228</v>
      </c>
    </row>
    <row r="62" spans="1:4">
      <c r="A62" s="50"/>
      <c r="B62" s="51"/>
      <c r="C62" s="44">
        <v>2411150301</v>
      </c>
      <c r="D62" s="3" t="s">
        <v>531</v>
      </c>
    </row>
    <row r="63" spans="1:4">
      <c r="A63" s="50"/>
      <c r="B63" s="51"/>
      <c r="C63" s="44">
        <v>2411150303</v>
      </c>
      <c r="D63" s="3" t="s">
        <v>530</v>
      </c>
    </row>
    <row r="64" spans="1:4">
      <c r="A64" s="50">
        <v>241118</v>
      </c>
      <c r="B64" s="51" t="s">
        <v>705</v>
      </c>
      <c r="C64" s="44">
        <v>2411180501</v>
      </c>
      <c r="D64" s="3" t="s">
        <v>534</v>
      </c>
    </row>
    <row r="65" spans="1:4">
      <c r="A65" s="50"/>
      <c r="B65" s="51"/>
      <c r="C65" s="44">
        <v>2411181001</v>
      </c>
      <c r="D65" s="3" t="s">
        <v>66</v>
      </c>
    </row>
    <row r="66" spans="1:4">
      <c r="A66" s="50"/>
      <c r="B66" s="51"/>
      <c r="C66" s="44">
        <v>2411181002</v>
      </c>
      <c r="D66" s="4" t="s">
        <v>67</v>
      </c>
    </row>
    <row r="67" spans="1:4">
      <c r="A67" s="44"/>
      <c r="B67" s="3"/>
      <c r="C67" s="44">
        <v>2411189701</v>
      </c>
      <c r="D67" s="3" t="s">
        <v>68</v>
      </c>
    </row>
    <row r="68" spans="1:4">
      <c r="A68" s="48">
        <v>241124</v>
      </c>
      <c r="B68" s="49" t="s">
        <v>706</v>
      </c>
      <c r="C68" s="44">
        <v>2411240403</v>
      </c>
      <c r="D68" s="3" t="s">
        <v>518</v>
      </c>
    </row>
    <row r="69" spans="1:4">
      <c r="A69" s="46">
        <v>241125</v>
      </c>
      <c r="B69" s="45" t="s">
        <v>707</v>
      </c>
      <c r="C69" s="44">
        <v>2411250101</v>
      </c>
      <c r="D69" s="3" t="s">
        <v>224</v>
      </c>
    </row>
    <row r="70" spans="1:4">
      <c r="A70" s="44">
        <v>241127</v>
      </c>
      <c r="B70" s="3" t="s">
        <v>708</v>
      </c>
      <c r="C70" s="44">
        <v>2411270201</v>
      </c>
      <c r="D70" s="3" t="s">
        <v>521</v>
      </c>
    </row>
    <row r="71" spans="1:4">
      <c r="A71" s="48">
        <v>241220</v>
      </c>
      <c r="B71" s="49" t="s">
        <v>709</v>
      </c>
      <c r="C71" s="44">
        <v>2412200201</v>
      </c>
      <c r="D71" s="3" t="s">
        <v>522</v>
      </c>
    </row>
    <row r="72" spans="1:4">
      <c r="A72" s="46">
        <v>241315</v>
      </c>
      <c r="B72" s="45" t="s">
        <v>710</v>
      </c>
      <c r="C72" s="44">
        <v>2413150301</v>
      </c>
      <c r="D72" s="3" t="s">
        <v>115</v>
      </c>
    </row>
    <row r="73" spans="1:4">
      <c r="A73" s="44">
        <v>251017</v>
      </c>
      <c r="B73" s="3" t="s">
        <v>711</v>
      </c>
      <c r="C73" s="44">
        <v>2510178901</v>
      </c>
      <c r="D73" s="3" t="s">
        <v>142</v>
      </c>
    </row>
    <row r="74" spans="1:4">
      <c r="A74" s="47">
        <v>251115</v>
      </c>
      <c r="B74" s="8" t="s">
        <v>712</v>
      </c>
      <c r="C74" s="44">
        <v>2511150201</v>
      </c>
      <c r="D74" s="3" t="s">
        <v>560</v>
      </c>
    </row>
    <row r="75" spans="1:4">
      <c r="A75" s="47"/>
      <c r="B75" s="8"/>
      <c r="C75" s="44">
        <v>2511150501</v>
      </c>
      <c r="D75" s="3" t="s">
        <v>565</v>
      </c>
    </row>
    <row r="76" spans="1:4">
      <c r="A76" s="50"/>
      <c r="B76" s="51"/>
      <c r="C76" s="44">
        <v>2511150601</v>
      </c>
      <c r="D76" s="3" t="s">
        <v>567</v>
      </c>
    </row>
    <row r="77" spans="1:4">
      <c r="A77" s="50"/>
      <c r="B77" s="51"/>
      <c r="C77" s="44">
        <v>2511150701</v>
      </c>
      <c r="D77" s="3" t="s">
        <v>568</v>
      </c>
    </row>
    <row r="78" spans="1:4">
      <c r="A78" s="47"/>
      <c r="B78" s="8"/>
      <c r="C78" s="44">
        <v>2511150801</v>
      </c>
      <c r="D78" s="3" t="s">
        <v>570</v>
      </c>
    </row>
    <row r="79" spans="1:4">
      <c r="A79" s="47"/>
      <c r="B79" s="8"/>
      <c r="C79" s="44">
        <v>2511150802</v>
      </c>
      <c r="D79" s="3" t="s">
        <v>571</v>
      </c>
    </row>
    <row r="80" spans="1:4">
      <c r="A80" s="50"/>
      <c r="B80" s="51"/>
      <c r="C80" s="44">
        <v>2511152701</v>
      </c>
      <c r="D80" s="3" t="s">
        <v>580</v>
      </c>
    </row>
    <row r="81" spans="1:4">
      <c r="A81" s="50"/>
      <c r="B81" s="51"/>
      <c r="C81" s="44">
        <v>2511153101</v>
      </c>
      <c r="D81" s="3" t="s">
        <v>598</v>
      </c>
    </row>
    <row r="82" spans="1:4">
      <c r="A82" s="44"/>
      <c r="B82" s="3"/>
      <c r="C82" s="44">
        <v>2511159701</v>
      </c>
      <c r="D82" s="3" t="s">
        <v>579</v>
      </c>
    </row>
    <row r="83" spans="1:4">
      <c r="A83" s="47">
        <v>251116</v>
      </c>
      <c r="B83" s="8" t="s">
        <v>713</v>
      </c>
      <c r="C83" s="44">
        <v>2511160201</v>
      </c>
      <c r="D83" s="3" t="s">
        <v>581</v>
      </c>
    </row>
    <row r="84" spans="1:4">
      <c r="A84" s="44"/>
      <c r="B84" s="3"/>
      <c r="C84" s="44">
        <v>2511160301</v>
      </c>
      <c r="D84" s="3" t="s">
        <v>583</v>
      </c>
    </row>
    <row r="85" spans="1:4">
      <c r="A85" s="47">
        <v>251117</v>
      </c>
      <c r="B85" s="8" t="s">
        <v>714</v>
      </c>
      <c r="C85" s="44">
        <v>2511171801</v>
      </c>
      <c r="D85" s="3" t="s">
        <v>585</v>
      </c>
    </row>
    <row r="86" spans="1:4">
      <c r="A86" s="50"/>
      <c r="B86" s="51"/>
      <c r="C86" s="44">
        <v>2511172201</v>
      </c>
      <c r="D86" s="3" t="s">
        <v>586</v>
      </c>
    </row>
    <row r="87" spans="1:4">
      <c r="A87" s="50"/>
      <c r="B87" s="51"/>
      <c r="C87" s="44">
        <v>2511172601</v>
      </c>
      <c r="D87" s="3" t="s">
        <v>603</v>
      </c>
    </row>
    <row r="88" spans="1:4">
      <c r="A88" s="50">
        <v>251118</v>
      </c>
      <c r="B88" s="51" t="s">
        <v>715</v>
      </c>
      <c r="C88" s="44">
        <v>2511180801</v>
      </c>
      <c r="D88" s="3" t="s">
        <v>593</v>
      </c>
    </row>
    <row r="89" spans="1:4">
      <c r="A89" s="50">
        <v>251120</v>
      </c>
      <c r="B89" s="51" t="s">
        <v>716</v>
      </c>
      <c r="C89" s="44">
        <v>2511200401</v>
      </c>
      <c r="D89" s="3" t="s">
        <v>597</v>
      </c>
    </row>
    <row r="90" spans="1:4">
      <c r="A90" s="47"/>
      <c r="B90" s="8"/>
      <c r="C90" s="44">
        <v>2511200701</v>
      </c>
      <c r="D90" s="3" t="s">
        <v>600</v>
      </c>
    </row>
    <row r="91" spans="1:4">
      <c r="A91" s="47"/>
      <c r="B91" s="8"/>
      <c r="C91" s="44">
        <v>2511200801</v>
      </c>
      <c r="D91" s="3" t="s">
        <v>601</v>
      </c>
    </row>
    <row r="92" spans="1:4">
      <c r="A92" s="47"/>
      <c r="B92" s="8"/>
      <c r="C92" s="44">
        <v>2511200901</v>
      </c>
      <c r="D92" s="3" t="s">
        <v>602</v>
      </c>
    </row>
    <row r="93" spans="1:4">
      <c r="A93" s="47"/>
      <c r="B93" s="8"/>
      <c r="C93" s="44">
        <v>2511201201</v>
      </c>
      <c r="D93" s="3" t="s">
        <v>605</v>
      </c>
    </row>
    <row r="94" spans="1:4">
      <c r="A94" s="44"/>
      <c r="B94" s="3"/>
      <c r="C94" s="44">
        <v>2511201401</v>
      </c>
      <c r="D94" s="3" t="s">
        <v>607</v>
      </c>
    </row>
    <row r="95" spans="1:4">
      <c r="A95" s="44">
        <v>251318</v>
      </c>
      <c r="B95" s="3" t="s">
        <v>717</v>
      </c>
      <c r="C95" s="44">
        <v>2513189901</v>
      </c>
      <c r="D95" s="3" t="s">
        <v>416</v>
      </c>
    </row>
    <row r="96" spans="1:4">
      <c r="A96" s="44">
        <v>252503</v>
      </c>
      <c r="B96" s="3" t="s">
        <v>718</v>
      </c>
      <c r="C96" s="44">
        <v>2525032501</v>
      </c>
      <c r="D96" s="3" t="s">
        <v>422</v>
      </c>
    </row>
    <row r="97" spans="1:4">
      <c r="A97" s="47">
        <v>261116</v>
      </c>
      <c r="B97" s="8" t="s">
        <v>719</v>
      </c>
      <c r="C97" s="44">
        <v>2611160101</v>
      </c>
      <c r="D97" s="3" t="s">
        <v>352</v>
      </c>
    </row>
    <row r="98" spans="1:4">
      <c r="A98" s="44"/>
      <c r="B98" s="3"/>
      <c r="C98" s="44">
        <v>2611160701</v>
      </c>
      <c r="D98" s="3" t="s">
        <v>375</v>
      </c>
    </row>
    <row r="99" spans="1:4">
      <c r="A99" s="44">
        <v>261117</v>
      </c>
      <c r="B99" s="3" t="s">
        <v>720</v>
      </c>
      <c r="C99" s="44">
        <v>2611170401</v>
      </c>
      <c r="D99" s="3" t="s">
        <v>374</v>
      </c>
    </row>
    <row r="100" spans="1:4">
      <c r="A100" s="48">
        <v>261215</v>
      </c>
      <c r="B100" s="49" t="s">
        <v>721</v>
      </c>
      <c r="C100" s="44">
        <v>2612152202</v>
      </c>
      <c r="D100" s="3" t="s">
        <v>373</v>
      </c>
    </row>
    <row r="101" spans="1:4">
      <c r="A101" s="50"/>
      <c r="B101" s="51"/>
      <c r="C101" s="44">
        <v>2612152204</v>
      </c>
      <c r="D101" s="3" t="s">
        <v>372</v>
      </c>
    </row>
    <row r="102" spans="1:4">
      <c r="A102" s="50"/>
      <c r="B102" s="51"/>
      <c r="C102" s="44">
        <v>2612152404</v>
      </c>
      <c r="D102" s="3" t="s">
        <v>722</v>
      </c>
    </row>
    <row r="103" spans="1:4">
      <c r="A103" s="50"/>
      <c r="B103" s="51"/>
      <c r="C103" s="44">
        <v>2612152412</v>
      </c>
      <c r="D103" s="3" t="s">
        <v>723</v>
      </c>
    </row>
    <row r="104" spans="1:4">
      <c r="A104" s="50">
        <v>301029</v>
      </c>
      <c r="B104" s="51" t="s">
        <v>724</v>
      </c>
      <c r="C104" s="44">
        <v>3010290301</v>
      </c>
      <c r="D104" s="3" t="s">
        <v>725</v>
      </c>
    </row>
    <row r="105" spans="1:4">
      <c r="A105" s="50">
        <v>301032</v>
      </c>
      <c r="B105" s="51" t="s">
        <v>726</v>
      </c>
      <c r="C105" s="44">
        <v>3010320101</v>
      </c>
      <c r="D105" s="3" t="s">
        <v>70</v>
      </c>
    </row>
    <row r="106" spans="1:4">
      <c r="A106" s="50">
        <v>301036</v>
      </c>
      <c r="B106" s="51" t="s">
        <v>727</v>
      </c>
      <c r="C106" s="44">
        <v>3010360501</v>
      </c>
      <c r="D106" s="3" t="s">
        <v>233</v>
      </c>
    </row>
    <row r="107" spans="1:4">
      <c r="A107" s="50"/>
      <c r="B107" s="51"/>
      <c r="C107" s="44">
        <v>3010362201</v>
      </c>
      <c r="D107" s="3" t="s">
        <v>222</v>
      </c>
    </row>
    <row r="108" spans="1:4">
      <c r="A108" s="50"/>
      <c r="B108" s="51"/>
      <c r="C108" s="44">
        <v>3010369901</v>
      </c>
      <c r="D108" s="3" t="s">
        <v>234</v>
      </c>
    </row>
    <row r="109" spans="1:4">
      <c r="A109" s="50">
        <v>301099</v>
      </c>
      <c r="B109" s="51" t="s">
        <v>728</v>
      </c>
      <c r="C109" s="44">
        <v>3010990201</v>
      </c>
      <c r="D109" s="3" t="s">
        <v>464</v>
      </c>
    </row>
    <row r="110" spans="1:4">
      <c r="A110" s="50"/>
      <c r="B110" s="51"/>
      <c r="C110" s="44">
        <v>3010990401</v>
      </c>
      <c r="D110" s="3" t="s">
        <v>463</v>
      </c>
    </row>
    <row r="111" spans="1:4">
      <c r="A111" s="50">
        <v>301115</v>
      </c>
      <c r="B111" s="51" t="s">
        <v>729</v>
      </c>
      <c r="C111" s="44">
        <v>3011150501</v>
      </c>
      <c r="D111" s="3" t="s">
        <v>435</v>
      </c>
    </row>
    <row r="112" spans="1:4">
      <c r="A112" s="50"/>
      <c r="B112" s="51"/>
      <c r="C112" s="44">
        <v>3011159301</v>
      </c>
      <c r="D112" s="3" t="s">
        <v>469</v>
      </c>
    </row>
    <row r="113" spans="1:4">
      <c r="A113" s="50"/>
      <c r="B113" s="51"/>
      <c r="C113" s="44">
        <v>3011159701</v>
      </c>
      <c r="D113" s="3" t="s">
        <v>456</v>
      </c>
    </row>
    <row r="114" spans="1:4">
      <c r="A114" s="44"/>
      <c r="B114" s="3"/>
      <c r="C114" s="44">
        <v>3011159702</v>
      </c>
      <c r="D114" s="3" t="s">
        <v>457</v>
      </c>
    </row>
    <row r="115" spans="1:4">
      <c r="A115" s="48">
        <v>301118</v>
      </c>
      <c r="B115" s="49" t="s">
        <v>730</v>
      </c>
      <c r="C115" s="44">
        <v>3011180101</v>
      </c>
      <c r="D115" s="3" t="s">
        <v>83</v>
      </c>
    </row>
    <row r="116" spans="1:4">
      <c r="A116" s="50">
        <v>301216</v>
      </c>
      <c r="B116" s="51" t="s">
        <v>731</v>
      </c>
      <c r="C116" s="44">
        <v>3012169501</v>
      </c>
      <c r="D116" s="3" t="s">
        <v>80</v>
      </c>
    </row>
    <row r="117" spans="1:4">
      <c r="A117" s="50"/>
      <c r="B117" s="51"/>
      <c r="C117" s="44">
        <v>3012169901</v>
      </c>
      <c r="D117" s="3" t="s">
        <v>436</v>
      </c>
    </row>
    <row r="118" spans="1:4">
      <c r="A118" s="50"/>
      <c r="B118" s="51"/>
      <c r="C118" s="44">
        <v>3012169902</v>
      </c>
      <c r="D118" s="3" t="s">
        <v>437</v>
      </c>
    </row>
    <row r="119" spans="1:4">
      <c r="A119" s="50">
        <v>301217</v>
      </c>
      <c r="B119" s="51" t="s">
        <v>732</v>
      </c>
      <c r="C119" s="44">
        <v>3012170202</v>
      </c>
      <c r="D119" s="3" t="s">
        <v>284</v>
      </c>
    </row>
    <row r="120" spans="1:4">
      <c r="A120" s="50"/>
      <c r="B120" s="51"/>
      <c r="C120" s="44">
        <v>3012170301</v>
      </c>
      <c r="D120" s="3" t="s">
        <v>56</v>
      </c>
    </row>
    <row r="121" spans="1:4">
      <c r="A121" s="50"/>
      <c r="B121" s="51"/>
      <c r="C121" s="44">
        <v>3012170302</v>
      </c>
      <c r="D121" s="3" t="s">
        <v>57</v>
      </c>
    </row>
    <row r="122" spans="1:4">
      <c r="A122" s="50"/>
      <c r="B122" s="51"/>
      <c r="C122" s="44">
        <v>3012171601</v>
      </c>
      <c r="D122" s="3" t="s">
        <v>79</v>
      </c>
    </row>
    <row r="123" spans="1:4">
      <c r="A123" s="47"/>
      <c r="B123" s="8"/>
      <c r="C123" s="44">
        <v>3012178601</v>
      </c>
      <c r="D123" s="3" t="s">
        <v>283</v>
      </c>
    </row>
    <row r="124" spans="1:4">
      <c r="A124" s="47"/>
      <c r="B124" s="8"/>
      <c r="C124" s="44">
        <v>3012178702</v>
      </c>
      <c r="D124" s="3" t="s">
        <v>60</v>
      </c>
    </row>
    <row r="125" spans="1:4">
      <c r="A125" s="47"/>
      <c r="B125" s="8"/>
      <c r="C125" s="44">
        <v>3012178703</v>
      </c>
      <c r="D125" s="3" t="s">
        <v>59</v>
      </c>
    </row>
    <row r="126" spans="1:4">
      <c r="A126" s="47"/>
      <c r="B126" s="8"/>
      <c r="C126" s="44">
        <v>3012178801</v>
      </c>
      <c r="D126" s="3" t="s">
        <v>55</v>
      </c>
    </row>
    <row r="127" spans="1:4">
      <c r="A127" s="47"/>
      <c r="B127" s="8"/>
      <c r="C127" s="44">
        <v>3012178901</v>
      </c>
      <c r="D127" s="3" t="s">
        <v>43</v>
      </c>
    </row>
    <row r="128" spans="1:4">
      <c r="A128" s="47"/>
      <c r="B128" s="8"/>
      <c r="C128" s="44">
        <v>3012179301</v>
      </c>
      <c r="D128" s="3" t="s">
        <v>42</v>
      </c>
    </row>
    <row r="129" spans="1:4">
      <c r="A129" s="44"/>
      <c r="B129" s="3"/>
      <c r="C129" s="44">
        <v>3012179401</v>
      </c>
      <c r="D129" s="3" t="s">
        <v>93</v>
      </c>
    </row>
    <row r="130" spans="1:4">
      <c r="A130" s="44">
        <v>301218</v>
      </c>
      <c r="B130" s="3" t="s">
        <v>733</v>
      </c>
      <c r="C130" s="44">
        <v>3012189801</v>
      </c>
      <c r="D130" s="3" t="s">
        <v>223</v>
      </c>
    </row>
    <row r="131" spans="1:4">
      <c r="A131" s="44">
        <v>301299</v>
      </c>
      <c r="B131" s="3" t="s">
        <v>734</v>
      </c>
      <c r="C131" s="44">
        <v>3012999901</v>
      </c>
      <c r="D131" s="3" t="s">
        <v>547</v>
      </c>
    </row>
    <row r="132" spans="1:4">
      <c r="A132" s="47">
        <v>301315</v>
      </c>
      <c r="B132" s="8" t="s">
        <v>735</v>
      </c>
      <c r="C132" s="44">
        <v>3013150201</v>
      </c>
      <c r="D132" s="3" t="s">
        <v>476</v>
      </c>
    </row>
    <row r="133" spans="1:4">
      <c r="A133" s="47"/>
      <c r="B133" s="8"/>
      <c r="C133" s="5">
        <v>3013150202</v>
      </c>
      <c r="D133" s="6" t="s">
        <v>480</v>
      </c>
    </row>
    <row r="134" spans="1:4">
      <c r="A134" s="47"/>
      <c r="B134" s="8"/>
      <c r="C134" s="44">
        <v>3013150204</v>
      </c>
      <c r="D134" s="3" t="s">
        <v>478</v>
      </c>
    </row>
    <row r="135" spans="1:4">
      <c r="A135" s="50"/>
      <c r="B135" s="51"/>
      <c r="C135" s="44">
        <v>3013150206</v>
      </c>
      <c r="D135" s="3" t="s">
        <v>477</v>
      </c>
    </row>
    <row r="136" spans="1:4">
      <c r="A136" s="50"/>
      <c r="B136" s="51"/>
      <c r="C136" s="44">
        <v>3013150209</v>
      </c>
      <c r="D136" s="3" t="s">
        <v>479</v>
      </c>
    </row>
    <row r="137" spans="1:4">
      <c r="A137" s="47"/>
      <c r="B137" s="8"/>
      <c r="C137" s="44">
        <v>3013150301</v>
      </c>
      <c r="D137" s="3" t="s">
        <v>439</v>
      </c>
    </row>
    <row r="138" spans="1:4">
      <c r="A138" s="47"/>
      <c r="B138" s="8"/>
      <c r="C138" s="44">
        <v>3013151401</v>
      </c>
      <c r="D138" s="3" t="s">
        <v>461</v>
      </c>
    </row>
    <row r="139" spans="1:4">
      <c r="A139" s="47"/>
      <c r="B139" s="8"/>
      <c r="C139" s="44">
        <v>3013159201</v>
      </c>
      <c r="D139" s="3" t="s">
        <v>481</v>
      </c>
    </row>
    <row r="140" spans="1:4">
      <c r="A140" s="44"/>
      <c r="B140" s="3"/>
      <c r="C140" s="44">
        <v>3013159801</v>
      </c>
      <c r="D140" s="3" t="s">
        <v>462</v>
      </c>
    </row>
    <row r="141" spans="1:4">
      <c r="A141" s="47">
        <v>301316</v>
      </c>
      <c r="B141" s="8" t="s">
        <v>736</v>
      </c>
      <c r="C141" s="44">
        <v>3013160201</v>
      </c>
      <c r="D141" s="3" t="s">
        <v>460</v>
      </c>
    </row>
    <row r="142" spans="1:4">
      <c r="A142" s="47"/>
      <c r="B142" s="8"/>
      <c r="C142" s="44">
        <v>3013160202</v>
      </c>
      <c r="D142" s="3" t="s">
        <v>459</v>
      </c>
    </row>
    <row r="143" spans="1:4">
      <c r="A143" s="44"/>
      <c r="B143" s="3"/>
      <c r="C143" s="44">
        <v>3013160301</v>
      </c>
      <c r="D143" s="3" t="s">
        <v>474</v>
      </c>
    </row>
    <row r="144" spans="1:4">
      <c r="A144" s="50">
        <v>301317</v>
      </c>
      <c r="B144" s="51" t="s">
        <v>737</v>
      </c>
      <c r="C144" s="44">
        <v>3013170201</v>
      </c>
      <c r="D144" s="3" t="s">
        <v>441</v>
      </c>
    </row>
    <row r="145" spans="1:4">
      <c r="A145" s="47"/>
      <c r="B145" s="8"/>
      <c r="C145" s="44">
        <v>3013170401</v>
      </c>
      <c r="D145" s="3" t="s">
        <v>485</v>
      </c>
    </row>
    <row r="146" spans="1:4">
      <c r="A146" s="50"/>
      <c r="B146" s="51"/>
      <c r="C146" s="44">
        <v>3013170402</v>
      </c>
      <c r="D146" s="3" t="s">
        <v>488</v>
      </c>
    </row>
    <row r="147" spans="1:4">
      <c r="A147" s="50"/>
      <c r="B147" s="51"/>
      <c r="C147" s="44">
        <v>3013170403</v>
      </c>
      <c r="D147" s="3" t="s">
        <v>484</v>
      </c>
    </row>
    <row r="148" spans="1:4">
      <c r="A148" s="47"/>
      <c r="B148" s="8"/>
      <c r="C148" s="44">
        <v>3013170405</v>
      </c>
      <c r="D148" s="3" t="s">
        <v>486</v>
      </c>
    </row>
    <row r="149" spans="1:4">
      <c r="A149" s="44"/>
      <c r="B149" s="3"/>
      <c r="C149" s="44">
        <v>3013170408</v>
      </c>
      <c r="D149" s="3" t="s">
        <v>487</v>
      </c>
    </row>
    <row r="150" spans="1:4">
      <c r="A150" s="44">
        <v>301515</v>
      </c>
      <c r="B150" s="3" t="s">
        <v>738</v>
      </c>
      <c r="C150" s="44">
        <v>3015159001</v>
      </c>
      <c r="D150" s="3" t="s">
        <v>450</v>
      </c>
    </row>
    <row r="151" spans="1:4">
      <c r="A151" s="48">
        <v>301518</v>
      </c>
      <c r="B151" s="49" t="s">
        <v>739</v>
      </c>
      <c r="C151" s="44">
        <v>3015180209</v>
      </c>
      <c r="D151" s="3" t="s">
        <v>740</v>
      </c>
    </row>
    <row r="152" spans="1:4">
      <c r="A152" s="46"/>
      <c r="B152" s="45"/>
      <c r="C152" s="44">
        <v>3015189901</v>
      </c>
      <c r="D152" s="3" t="s">
        <v>524</v>
      </c>
    </row>
    <row r="153" spans="1:4">
      <c r="A153" s="44">
        <v>301519</v>
      </c>
      <c r="B153" s="3" t="s">
        <v>741</v>
      </c>
      <c r="C153" s="44">
        <v>3015190101</v>
      </c>
      <c r="D153" s="3" t="s">
        <v>94</v>
      </c>
    </row>
    <row r="154" spans="1:4">
      <c r="A154" s="47">
        <v>301520</v>
      </c>
      <c r="B154" s="8" t="s">
        <v>742</v>
      </c>
      <c r="C154" s="44">
        <v>3015200101</v>
      </c>
      <c r="D154" s="3" t="s">
        <v>52</v>
      </c>
    </row>
    <row r="155" spans="1:4">
      <c r="A155" s="47"/>
      <c r="B155" s="8"/>
      <c r="C155" s="44">
        <v>3015200102</v>
      </c>
      <c r="D155" s="3" t="s">
        <v>53</v>
      </c>
    </row>
    <row r="156" spans="1:4">
      <c r="A156" s="47"/>
      <c r="B156" s="8"/>
      <c r="C156" s="44">
        <v>3015200103</v>
      </c>
      <c r="D156" s="3" t="s">
        <v>743</v>
      </c>
    </row>
    <row r="157" spans="1:4">
      <c r="A157" s="47"/>
      <c r="B157" s="8"/>
      <c r="C157" s="44">
        <v>3015200104</v>
      </c>
      <c r="D157" s="3" t="s">
        <v>54</v>
      </c>
    </row>
    <row r="158" spans="1:4">
      <c r="A158" s="50"/>
      <c r="B158" s="51"/>
      <c r="C158" s="44">
        <v>3015200105</v>
      </c>
      <c r="D158" s="3" t="s">
        <v>744</v>
      </c>
    </row>
    <row r="159" spans="1:4">
      <c r="A159" s="46"/>
      <c r="B159" s="45"/>
      <c r="C159" s="44">
        <v>3015200106</v>
      </c>
      <c r="D159" s="3" t="s">
        <v>51</v>
      </c>
    </row>
    <row r="160" spans="1:4">
      <c r="A160" s="48">
        <v>301522</v>
      </c>
      <c r="B160" s="49" t="s">
        <v>745</v>
      </c>
      <c r="C160" s="44">
        <v>3015229901</v>
      </c>
      <c r="D160" s="3" t="s">
        <v>677</v>
      </c>
    </row>
    <row r="161" spans="1:4">
      <c r="A161" s="46">
        <v>301617</v>
      </c>
      <c r="B161" s="45" t="s">
        <v>746</v>
      </c>
      <c r="C161" s="44">
        <v>3016170201</v>
      </c>
      <c r="D161" s="3" t="s">
        <v>232</v>
      </c>
    </row>
    <row r="162" spans="1:4">
      <c r="A162" s="47">
        <v>301715</v>
      </c>
      <c r="B162" s="8" t="s">
        <v>747</v>
      </c>
      <c r="C162" s="44">
        <v>3017150401</v>
      </c>
      <c r="D162" s="3" t="s">
        <v>748</v>
      </c>
    </row>
    <row r="163" spans="1:4">
      <c r="A163" s="44"/>
      <c r="B163" s="3"/>
      <c r="C163" s="44">
        <v>3017158801</v>
      </c>
      <c r="D163" s="3" t="s">
        <v>539</v>
      </c>
    </row>
    <row r="164" spans="1:4">
      <c r="A164" s="50">
        <v>301716</v>
      </c>
      <c r="B164" s="51" t="s">
        <v>749</v>
      </c>
      <c r="C164" s="46">
        <v>3017169501</v>
      </c>
      <c r="D164" s="45" t="s">
        <v>541</v>
      </c>
    </row>
    <row r="165" spans="1:4">
      <c r="A165" s="50"/>
      <c r="B165" s="51"/>
      <c r="C165" s="44">
        <v>3017169601</v>
      </c>
      <c r="D165" s="3" t="s">
        <v>41</v>
      </c>
    </row>
    <row r="166" spans="1:4">
      <c r="A166" s="50"/>
      <c r="B166" s="51"/>
      <c r="C166" s="44">
        <v>3017169801</v>
      </c>
      <c r="D166" s="3" t="s">
        <v>82</v>
      </c>
    </row>
    <row r="167" spans="1:4">
      <c r="A167" s="50">
        <v>301799</v>
      </c>
      <c r="B167" s="51" t="s">
        <v>750</v>
      </c>
      <c r="C167" s="44">
        <v>3017999701</v>
      </c>
      <c r="D167" s="3" t="s">
        <v>540</v>
      </c>
    </row>
    <row r="168" spans="1:4">
      <c r="A168" s="50"/>
      <c r="B168" s="51"/>
      <c r="C168" s="44">
        <v>3017999801</v>
      </c>
      <c r="D168" s="3" t="s">
        <v>35</v>
      </c>
    </row>
    <row r="169" spans="1:4">
      <c r="A169" s="46">
        <v>301815</v>
      </c>
      <c r="B169" s="45" t="s">
        <v>751</v>
      </c>
      <c r="C169" s="44">
        <v>3018150801</v>
      </c>
      <c r="D169" s="3" t="s">
        <v>752</v>
      </c>
    </row>
    <row r="170" spans="1:4">
      <c r="A170" s="44">
        <v>301918</v>
      </c>
      <c r="B170" s="3" t="s">
        <v>753</v>
      </c>
      <c r="C170" s="44">
        <v>3019189601</v>
      </c>
      <c r="D170" s="3" t="s">
        <v>69</v>
      </c>
    </row>
    <row r="171" spans="1:4">
      <c r="A171" s="47">
        <v>302017</v>
      </c>
      <c r="B171" s="8" t="s">
        <v>754</v>
      </c>
      <c r="C171" s="44">
        <v>3020170401</v>
      </c>
      <c r="D171" s="3" t="s">
        <v>163</v>
      </c>
    </row>
    <row r="172" spans="1:4">
      <c r="A172" s="47"/>
      <c r="B172" s="8"/>
      <c r="C172" s="44">
        <v>3020170501</v>
      </c>
      <c r="D172" s="3" t="s">
        <v>72</v>
      </c>
    </row>
    <row r="173" spans="1:4">
      <c r="A173" s="50"/>
      <c r="B173" s="51"/>
      <c r="C173" s="44">
        <v>3020170502</v>
      </c>
      <c r="D173" s="3" t="s">
        <v>73</v>
      </c>
    </row>
    <row r="174" spans="1:4">
      <c r="A174" s="50"/>
      <c r="B174" s="51"/>
      <c r="C174" s="44">
        <v>3020170503</v>
      </c>
      <c r="D174" s="3" t="s">
        <v>74</v>
      </c>
    </row>
    <row r="175" spans="1:4">
      <c r="A175" s="44"/>
      <c r="B175" s="3"/>
      <c r="C175" s="44">
        <v>3020179601</v>
      </c>
      <c r="D175" s="3" t="s">
        <v>77</v>
      </c>
    </row>
    <row r="176" spans="1:4">
      <c r="A176" s="44">
        <v>302210</v>
      </c>
      <c r="B176" s="3" t="s">
        <v>755</v>
      </c>
      <c r="C176" s="44">
        <v>3022109901</v>
      </c>
      <c r="D176" s="3" t="s">
        <v>131</v>
      </c>
    </row>
    <row r="177" spans="1:4">
      <c r="A177" s="47">
        <v>302220</v>
      </c>
      <c r="B177" s="8" t="s">
        <v>756</v>
      </c>
      <c r="C177" s="44">
        <v>3022200301</v>
      </c>
      <c r="D177" s="3" t="s">
        <v>75</v>
      </c>
    </row>
    <row r="178" spans="1:4">
      <c r="A178" s="47"/>
      <c r="B178" s="8"/>
      <c r="C178" s="44">
        <v>3022201701</v>
      </c>
      <c r="D178" s="3" t="s">
        <v>608</v>
      </c>
    </row>
    <row r="179" spans="1:4">
      <c r="A179" s="47"/>
      <c r="B179" s="8"/>
      <c r="C179" s="44">
        <v>3022206401</v>
      </c>
      <c r="D179" s="3" t="s">
        <v>76</v>
      </c>
    </row>
    <row r="180" spans="1:4">
      <c r="A180" s="50"/>
      <c r="B180" s="51"/>
      <c r="C180" s="44">
        <v>3022209701</v>
      </c>
      <c r="D180" s="3" t="s">
        <v>545</v>
      </c>
    </row>
    <row r="181" spans="1:4">
      <c r="A181" s="50">
        <v>302316</v>
      </c>
      <c r="B181" s="51" t="s">
        <v>757</v>
      </c>
      <c r="C181" s="44">
        <v>3023160202</v>
      </c>
      <c r="D181" s="3" t="s">
        <v>226</v>
      </c>
    </row>
    <row r="182" spans="1:4">
      <c r="A182" s="50"/>
      <c r="B182" s="51"/>
      <c r="C182" s="44">
        <v>3023169901</v>
      </c>
      <c r="D182" s="3" t="s">
        <v>78</v>
      </c>
    </row>
    <row r="183" spans="1:4">
      <c r="A183" s="50">
        <v>311515</v>
      </c>
      <c r="B183" s="51" t="s">
        <v>758</v>
      </c>
      <c r="C183" s="44">
        <v>3115150301</v>
      </c>
      <c r="D183" s="3" t="s">
        <v>252</v>
      </c>
    </row>
    <row r="184" spans="1:4">
      <c r="A184" s="44"/>
      <c r="B184" s="3"/>
      <c r="C184" s="44">
        <v>3115150401</v>
      </c>
      <c r="D184" s="3" t="s">
        <v>251</v>
      </c>
    </row>
    <row r="185" spans="1:4">
      <c r="A185" s="48">
        <v>311632</v>
      </c>
      <c r="B185" s="49" t="s">
        <v>759</v>
      </c>
      <c r="C185" s="44">
        <v>3116329901</v>
      </c>
      <c r="D185" s="3" t="s">
        <v>81</v>
      </c>
    </row>
    <row r="186" spans="1:4">
      <c r="A186" s="50">
        <v>311634</v>
      </c>
      <c r="B186" s="51" t="s">
        <v>760</v>
      </c>
      <c r="C186" s="44">
        <v>3116340301</v>
      </c>
      <c r="D186" s="3" t="s">
        <v>58</v>
      </c>
    </row>
    <row r="187" spans="1:4">
      <c r="A187" s="50">
        <v>312115</v>
      </c>
      <c r="B187" s="51" t="s">
        <v>761</v>
      </c>
      <c r="C187" s="44">
        <v>3121150101</v>
      </c>
      <c r="D187" s="3" t="s">
        <v>505</v>
      </c>
    </row>
    <row r="188" spans="1:4">
      <c r="A188" s="50"/>
      <c r="B188" s="51"/>
      <c r="C188" s="44">
        <v>3121151301</v>
      </c>
      <c r="D188" s="3" t="s">
        <v>508</v>
      </c>
    </row>
    <row r="189" spans="1:4">
      <c r="A189" s="46"/>
      <c r="B189" s="45"/>
      <c r="C189" s="44">
        <v>3121159901</v>
      </c>
      <c r="D189" s="3" t="s">
        <v>506</v>
      </c>
    </row>
    <row r="190" spans="1:4">
      <c r="A190" s="47">
        <v>391016</v>
      </c>
      <c r="B190" s="8" t="s">
        <v>762</v>
      </c>
      <c r="C190" s="44">
        <v>3910161401</v>
      </c>
      <c r="D190" s="3" t="s">
        <v>336</v>
      </c>
    </row>
    <row r="191" spans="1:4">
      <c r="A191" s="47"/>
      <c r="B191" s="8"/>
      <c r="C191" s="44">
        <v>3910161701</v>
      </c>
      <c r="D191" s="3" t="s">
        <v>331</v>
      </c>
    </row>
    <row r="192" spans="1:4">
      <c r="A192" s="44"/>
      <c r="B192" s="3"/>
      <c r="C192" s="44">
        <v>3910169901</v>
      </c>
      <c r="D192" s="3" t="s">
        <v>763</v>
      </c>
    </row>
    <row r="193" spans="1:4">
      <c r="A193" s="47">
        <v>391115</v>
      </c>
      <c r="B193" s="8" t="s">
        <v>764</v>
      </c>
      <c r="C193" s="44">
        <v>3911150101</v>
      </c>
      <c r="D193" s="3" t="s">
        <v>379</v>
      </c>
    </row>
    <row r="194" spans="1:4">
      <c r="A194" s="47"/>
      <c r="B194" s="8"/>
      <c r="C194" s="44">
        <v>3911150102</v>
      </c>
      <c r="D194" s="3" t="s">
        <v>380</v>
      </c>
    </row>
    <row r="195" spans="1:4">
      <c r="A195" s="47"/>
      <c r="B195" s="8"/>
      <c r="C195" s="44">
        <v>3911150103</v>
      </c>
      <c r="D195" s="3" t="s">
        <v>378</v>
      </c>
    </row>
    <row r="196" spans="1:4">
      <c r="A196" s="47"/>
      <c r="B196" s="8"/>
      <c r="C196" s="44">
        <v>3911151501</v>
      </c>
      <c r="D196" s="3" t="s">
        <v>377</v>
      </c>
    </row>
    <row r="197" spans="1:4">
      <c r="A197" s="50"/>
      <c r="B197" s="51"/>
      <c r="C197" s="44">
        <v>3911151502</v>
      </c>
      <c r="D197" s="3" t="s">
        <v>765</v>
      </c>
    </row>
    <row r="198" spans="1:4">
      <c r="A198" s="50"/>
      <c r="B198" s="51"/>
      <c r="C198" s="44">
        <v>3911152601</v>
      </c>
      <c r="D198" s="3" t="s">
        <v>49</v>
      </c>
    </row>
    <row r="199" spans="1:4">
      <c r="A199" s="47"/>
      <c r="B199" s="8"/>
      <c r="C199" s="44">
        <v>3911152602</v>
      </c>
      <c r="D199" s="3" t="s">
        <v>47</v>
      </c>
    </row>
    <row r="200" spans="1:4">
      <c r="A200" s="47"/>
      <c r="B200" s="8"/>
      <c r="C200" s="44">
        <v>3911152604</v>
      </c>
      <c r="D200" s="3" t="s">
        <v>48</v>
      </c>
    </row>
    <row r="201" spans="1:4">
      <c r="A201" s="47"/>
      <c r="B201" s="8"/>
      <c r="C201" s="44">
        <v>3911152606</v>
      </c>
      <c r="D201" s="3" t="s">
        <v>46</v>
      </c>
    </row>
    <row r="202" spans="1:4">
      <c r="A202" s="50"/>
      <c r="B202" s="51"/>
      <c r="C202" s="44">
        <v>3911152607</v>
      </c>
      <c r="D202" s="3" t="s">
        <v>45</v>
      </c>
    </row>
    <row r="203" spans="1:4">
      <c r="A203" s="50">
        <v>391116</v>
      </c>
      <c r="B203" s="51" t="s">
        <v>766</v>
      </c>
      <c r="C203" s="44">
        <v>3911160301</v>
      </c>
      <c r="D203" s="3" t="s">
        <v>332</v>
      </c>
    </row>
    <row r="204" spans="1:4">
      <c r="A204" s="50"/>
      <c r="B204" s="51"/>
      <c r="C204" s="44">
        <v>3911160302</v>
      </c>
      <c r="D204" s="3" t="s">
        <v>767</v>
      </c>
    </row>
    <row r="205" spans="1:4">
      <c r="A205" s="47"/>
      <c r="B205" s="8"/>
      <c r="C205" s="44">
        <v>3911160303</v>
      </c>
      <c r="D205" s="3" t="s">
        <v>333</v>
      </c>
    </row>
    <row r="206" spans="1:4">
      <c r="A206" s="47"/>
      <c r="B206" s="8"/>
      <c r="C206" s="44">
        <v>3911160304</v>
      </c>
      <c r="D206" s="3" t="s">
        <v>768</v>
      </c>
    </row>
    <row r="207" spans="1:4">
      <c r="A207" s="50"/>
      <c r="B207" s="51"/>
      <c r="C207" s="44">
        <v>3911160501</v>
      </c>
      <c r="D207" s="3" t="s">
        <v>769</v>
      </c>
    </row>
    <row r="208" spans="1:4">
      <c r="A208" s="50"/>
      <c r="B208" s="51"/>
      <c r="C208" s="44">
        <v>3911160502</v>
      </c>
      <c r="D208" s="3" t="s">
        <v>340</v>
      </c>
    </row>
    <row r="209" spans="1:4">
      <c r="A209" s="47"/>
      <c r="B209" s="8"/>
      <c r="C209" s="44">
        <v>3911160602</v>
      </c>
      <c r="D209" s="3" t="s">
        <v>339</v>
      </c>
    </row>
    <row r="210" spans="1:4">
      <c r="A210" s="47"/>
      <c r="B210" s="8"/>
      <c r="C210" s="44">
        <v>3911160801</v>
      </c>
      <c r="D210" s="3" t="s">
        <v>330</v>
      </c>
    </row>
    <row r="211" spans="1:4">
      <c r="A211" s="50"/>
      <c r="B211" s="51"/>
      <c r="C211" s="44">
        <v>3911160802</v>
      </c>
      <c r="D211" s="3" t="s">
        <v>770</v>
      </c>
    </row>
    <row r="212" spans="1:4">
      <c r="A212" s="50"/>
      <c r="B212" s="51"/>
      <c r="C212" s="44">
        <v>3911161101</v>
      </c>
      <c r="D212" s="3" t="s">
        <v>341</v>
      </c>
    </row>
    <row r="213" spans="1:4">
      <c r="A213" s="50"/>
      <c r="B213" s="51"/>
      <c r="C213" s="44">
        <v>3911161102</v>
      </c>
      <c r="D213" s="3" t="s">
        <v>771</v>
      </c>
    </row>
    <row r="214" spans="1:4">
      <c r="A214" s="47"/>
      <c r="B214" s="8"/>
      <c r="C214" s="44">
        <v>3911161103</v>
      </c>
      <c r="D214" s="3" t="s">
        <v>342</v>
      </c>
    </row>
    <row r="215" spans="1:4">
      <c r="A215" s="47"/>
      <c r="B215" s="8"/>
      <c r="C215" s="44">
        <v>3911169701</v>
      </c>
      <c r="D215" s="3" t="s">
        <v>337</v>
      </c>
    </row>
    <row r="216" spans="1:4">
      <c r="A216" s="44"/>
      <c r="B216" s="3"/>
      <c r="C216" s="44">
        <v>3911169703</v>
      </c>
      <c r="D216" s="3" t="s">
        <v>338</v>
      </c>
    </row>
    <row r="217" spans="1:4">
      <c r="A217" s="48">
        <v>391118</v>
      </c>
      <c r="B217" s="49" t="s">
        <v>772</v>
      </c>
      <c r="C217" s="44">
        <v>3911180101</v>
      </c>
      <c r="D217" s="3" t="s">
        <v>335</v>
      </c>
    </row>
    <row r="218" spans="1:4">
      <c r="A218" s="50"/>
      <c r="B218" s="51"/>
      <c r="C218" s="44">
        <v>3911180102</v>
      </c>
      <c r="D218" s="3" t="s">
        <v>334</v>
      </c>
    </row>
    <row r="219" spans="1:4">
      <c r="A219" s="50">
        <v>391120</v>
      </c>
      <c r="B219" s="51" t="s">
        <v>773</v>
      </c>
      <c r="C219" s="44">
        <v>3911200101</v>
      </c>
      <c r="D219" s="3" t="s">
        <v>44</v>
      </c>
    </row>
    <row r="220" spans="1:4">
      <c r="A220" s="50">
        <v>391121</v>
      </c>
      <c r="B220" s="51" t="s">
        <v>774</v>
      </c>
      <c r="C220" s="44">
        <v>3911210201</v>
      </c>
      <c r="D220" s="3" t="s">
        <v>775</v>
      </c>
    </row>
    <row r="221" spans="1:4">
      <c r="A221" s="50">
        <v>391210</v>
      </c>
      <c r="B221" s="51" t="s">
        <v>776</v>
      </c>
      <c r="C221" s="44">
        <v>3912100101</v>
      </c>
      <c r="D221" s="3" t="s">
        <v>357</v>
      </c>
    </row>
    <row r="222" spans="1:4">
      <c r="A222" s="50"/>
      <c r="B222" s="51"/>
      <c r="C222" s="44">
        <v>3912100102</v>
      </c>
      <c r="D222" s="3" t="s">
        <v>356</v>
      </c>
    </row>
    <row r="223" spans="1:4">
      <c r="A223" s="50"/>
      <c r="B223" s="51"/>
      <c r="C223" s="44">
        <v>3912100104</v>
      </c>
      <c r="D223" s="3" t="s">
        <v>358</v>
      </c>
    </row>
    <row r="224" spans="1:4">
      <c r="A224" s="47"/>
      <c r="B224" s="8"/>
      <c r="C224" s="44">
        <v>3912100105</v>
      </c>
      <c r="D224" s="3" t="s">
        <v>359</v>
      </c>
    </row>
    <row r="225" spans="1:4">
      <c r="A225" s="47"/>
      <c r="B225" s="8"/>
      <c r="C225" s="44">
        <v>3912100106</v>
      </c>
      <c r="D225" s="3" t="s">
        <v>360</v>
      </c>
    </row>
    <row r="226" spans="1:4">
      <c r="A226" s="47"/>
      <c r="B226" s="8"/>
      <c r="C226" s="44">
        <v>3912101101</v>
      </c>
      <c r="D226" s="3" t="s">
        <v>351</v>
      </c>
    </row>
    <row r="227" spans="1:4">
      <c r="A227" s="47"/>
      <c r="B227" s="8"/>
      <c r="C227" s="44">
        <v>3912103001</v>
      </c>
      <c r="D227" s="3" t="s">
        <v>361</v>
      </c>
    </row>
    <row r="228" spans="1:4">
      <c r="A228" s="47"/>
      <c r="B228" s="8"/>
      <c r="C228" s="44">
        <v>3912103002</v>
      </c>
      <c r="D228" s="3" t="s">
        <v>362</v>
      </c>
    </row>
    <row r="229" spans="1:4">
      <c r="A229" s="44"/>
      <c r="B229" s="3"/>
      <c r="C229" s="44">
        <v>3912106001</v>
      </c>
      <c r="D229" s="3" t="s">
        <v>777</v>
      </c>
    </row>
    <row r="230" spans="1:4">
      <c r="A230" s="47">
        <v>391211</v>
      </c>
      <c r="B230" s="8" t="s">
        <v>778</v>
      </c>
      <c r="C230" s="44">
        <v>3912110101</v>
      </c>
      <c r="D230" s="3" t="s">
        <v>354</v>
      </c>
    </row>
    <row r="231" spans="1:4">
      <c r="A231" s="50"/>
      <c r="B231" s="51"/>
      <c r="C231" s="44">
        <v>3912110301</v>
      </c>
      <c r="D231" s="3" t="s">
        <v>353</v>
      </c>
    </row>
    <row r="232" spans="1:4">
      <c r="A232" s="50"/>
      <c r="B232" s="51"/>
      <c r="C232" s="44">
        <v>3912110401</v>
      </c>
      <c r="D232" s="3" t="s">
        <v>355</v>
      </c>
    </row>
    <row r="233" spans="1:4">
      <c r="A233" s="50"/>
      <c r="B233" s="51"/>
      <c r="C233" s="44">
        <v>3912110603</v>
      </c>
      <c r="D233" s="3" t="s">
        <v>371</v>
      </c>
    </row>
    <row r="234" spans="1:4">
      <c r="A234" s="50"/>
      <c r="B234" s="51"/>
      <c r="C234" s="44">
        <v>3912110604</v>
      </c>
      <c r="D234" s="3" t="s">
        <v>368</v>
      </c>
    </row>
    <row r="235" spans="1:4">
      <c r="A235" s="50"/>
      <c r="B235" s="51"/>
      <c r="C235" s="44">
        <v>3912110605</v>
      </c>
      <c r="D235" s="3" t="s">
        <v>369</v>
      </c>
    </row>
    <row r="236" spans="1:4">
      <c r="A236" s="50"/>
      <c r="B236" s="51"/>
      <c r="C236" s="44">
        <v>3912110606</v>
      </c>
      <c r="D236" s="3" t="s">
        <v>370</v>
      </c>
    </row>
    <row r="237" spans="1:4">
      <c r="A237" s="50"/>
      <c r="B237" s="51"/>
      <c r="C237" s="44">
        <v>3912110701</v>
      </c>
      <c r="D237" s="3" t="s">
        <v>365</v>
      </c>
    </row>
    <row r="238" spans="1:4">
      <c r="A238" s="50"/>
      <c r="B238" s="51"/>
      <c r="C238" s="44">
        <v>3912110702</v>
      </c>
      <c r="D238" s="3" t="s">
        <v>366</v>
      </c>
    </row>
    <row r="239" spans="1:4">
      <c r="A239" s="50"/>
      <c r="B239" s="51"/>
      <c r="C239" s="44">
        <v>3912118901</v>
      </c>
      <c r="D239" s="3" t="s">
        <v>343</v>
      </c>
    </row>
    <row r="240" spans="1:4">
      <c r="A240" s="46"/>
      <c r="B240" s="45"/>
      <c r="C240" s="44">
        <v>3912119801</v>
      </c>
      <c r="D240" s="3" t="s">
        <v>408</v>
      </c>
    </row>
    <row r="241" spans="1:4">
      <c r="A241" s="44">
        <v>391218</v>
      </c>
      <c r="B241" s="3" t="s">
        <v>779</v>
      </c>
      <c r="C241" s="44">
        <v>3912180101</v>
      </c>
      <c r="D241" s="3" t="s">
        <v>367</v>
      </c>
    </row>
    <row r="242" spans="1:4">
      <c r="A242" s="48">
        <v>391317</v>
      </c>
      <c r="B242" s="49" t="s">
        <v>780</v>
      </c>
      <c r="C242" s="44">
        <v>3913170401</v>
      </c>
      <c r="D242" s="3" t="s">
        <v>91</v>
      </c>
    </row>
    <row r="243" spans="1:4">
      <c r="A243" s="50"/>
      <c r="B243" s="51"/>
      <c r="C243" s="44">
        <v>3913170501</v>
      </c>
      <c r="D243" s="3" t="s">
        <v>92</v>
      </c>
    </row>
    <row r="244" spans="1:4">
      <c r="A244" s="47"/>
      <c r="B244" s="8"/>
      <c r="C244" s="44">
        <v>3913170603</v>
      </c>
      <c r="D244" s="3" t="s">
        <v>500</v>
      </c>
    </row>
    <row r="245" spans="1:4">
      <c r="A245" s="47"/>
      <c r="B245" s="8"/>
      <c r="C245" s="44">
        <v>3913170606</v>
      </c>
      <c r="D245" s="3" t="s">
        <v>499</v>
      </c>
    </row>
    <row r="246" spans="1:4">
      <c r="A246" s="44"/>
      <c r="B246" s="3"/>
      <c r="C246" s="44">
        <v>3913170607</v>
      </c>
      <c r="D246" s="3" t="s">
        <v>501</v>
      </c>
    </row>
    <row r="247" spans="1:4">
      <c r="A247" s="48">
        <v>401016</v>
      </c>
      <c r="B247" s="49" t="s">
        <v>781</v>
      </c>
      <c r="C247" s="44">
        <v>4010160101</v>
      </c>
      <c r="D247" s="3" t="s">
        <v>144</v>
      </c>
    </row>
    <row r="248" spans="1:4">
      <c r="A248" s="46"/>
      <c r="B248" s="45"/>
      <c r="C248" s="44">
        <v>4010160201</v>
      </c>
      <c r="D248" s="3" t="s">
        <v>782</v>
      </c>
    </row>
    <row r="249" spans="1:4">
      <c r="A249" s="47">
        <v>401017</v>
      </c>
      <c r="B249" s="8" t="s">
        <v>783</v>
      </c>
      <c r="C249" s="44">
        <v>4010170801</v>
      </c>
      <c r="D249" s="3" t="s">
        <v>196</v>
      </c>
    </row>
    <row r="250" spans="1:4">
      <c r="A250" s="47"/>
      <c r="B250" s="8"/>
      <c r="C250" s="44">
        <v>4010170901</v>
      </c>
      <c r="D250" s="3" t="s">
        <v>97</v>
      </c>
    </row>
    <row r="251" spans="1:4">
      <c r="A251" s="47"/>
      <c r="B251" s="8"/>
      <c r="C251" s="44">
        <v>4010171201</v>
      </c>
      <c r="D251" s="3" t="s">
        <v>100</v>
      </c>
    </row>
    <row r="252" spans="1:4">
      <c r="A252" s="47"/>
      <c r="B252" s="8"/>
      <c r="C252" s="44">
        <v>4010171501</v>
      </c>
      <c r="D252" s="3" t="s">
        <v>219</v>
      </c>
    </row>
    <row r="253" spans="1:4">
      <c r="A253" s="44"/>
      <c r="B253" s="3"/>
      <c r="C253" s="44">
        <v>4010171601</v>
      </c>
      <c r="D253" s="3" t="s">
        <v>99</v>
      </c>
    </row>
    <row r="254" spans="1:4">
      <c r="A254" s="47">
        <v>401018</v>
      </c>
      <c r="B254" s="8" t="s">
        <v>784</v>
      </c>
      <c r="C254" s="44">
        <v>4010180201</v>
      </c>
      <c r="D254" s="3" t="s">
        <v>159</v>
      </c>
    </row>
    <row r="255" spans="1:4">
      <c r="A255" s="47"/>
      <c r="B255" s="8"/>
      <c r="C255" s="44">
        <v>4010180202</v>
      </c>
      <c r="D255" s="3" t="s">
        <v>160</v>
      </c>
    </row>
    <row r="256" spans="1:4">
      <c r="A256" s="44"/>
      <c r="B256" s="3"/>
      <c r="C256" s="44">
        <v>4010185001</v>
      </c>
      <c r="D256" s="3" t="s">
        <v>198</v>
      </c>
    </row>
    <row r="257" spans="1:4">
      <c r="A257" s="44">
        <v>401019</v>
      </c>
      <c r="B257" s="3" t="s">
        <v>785</v>
      </c>
      <c r="C257" s="44">
        <v>4010190201</v>
      </c>
      <c r="D257" s="3" t="s">
        <v>98</v>
      </c>
    </row>
    <row r="258" spans="1:4">
      <c r="A258" s="47">
        <v>401020</v>
      </c>
      <c r="B258" s="8" t="s">
        <v>786</v>
      </c>
      <c r="C258" s="44">
        <v>4010200101</v>
      </c>
      <c r="D258" s="3" t="s">
        <v>63</v>
      </c>
    </row>
    <row r="259" spans="1:4">
      <c r="A259" s="47"/>
      <c r="B259" s="8"/>
      <c r="C259" s="44">
        <v>4010200201</v>
      </c>
      <c r="D259" s="3" t="s">
        <v>62</v>
      </c>
    </row>
    <row r="260" spans="1:4">
      <c r="A260" s="50"/>
      <c r="B260" s="51"/>
      <c r="C260" s="44">
        <v>4010200601</v>
      </c>
      <c r="D260" s="3" t="s">
        <v>64</v>
      </c>
    </row>
    <row r="261" spans="1:4">
      <c r="A261" s="46"/>
      <c r="B261" s="45"/>
      <c r="C261" s="44">
        <v>4010209501</v>
      </c>
      <c r="D261" s="3" t="s">
        <v>61</v>
      </c>
    </row>
    <row r="262" spans="1:4">
      <c r="A262" s="48">
        <v>401416</v>
      </c>
      <c r="B262" s="49" t="s">
        <v>787</v>
      </c>
      <c r="C262" s="44">
        <v>4014161501</v>
      </c>
      <c r="D262" s="3" t="s">
        <v>135</v>
      </c>
    </row>
    <row r="263" spans="1:4">
      <c r="A263" s="50"/>
      <c r="B263" s="51"/>
      <c r="C263" s="44">
        <v>4014162001</v>
      </c>
      <c r="D263" s="3" t="s">
        <v>132</v>
      </c>
    </row>
    <row r="264" spans="1:4">
      <c r="A264" s="50"/>
      <c r="B264" s="51"/>
      <c r="C264" s="44">
        <v>4014168801</v>
      </c>
      <c r="D264" s="3" t="s">
        <v>134</v>
      </c>
    </row>
    <row r="265" spans="1:4">
      <c r="A265" s="50"/>
      <c r="B265" s="51"/>
      <c r="C265" s="44">
        <v>4014169401</v>
      </c>
      <c r="D265" s="3" t="s">
        <v>133</v>
      </c>
    </row>
    <row r="266" spans="1:4">
      <c r="A266" s="50">
        <v>401417</v>
      </c>
      <c r="B266" s="51" t="s">
        <v>788</v>
      </c>
      <c r="C266" s="44">
        <v>4014178201</v>
      </c>
      <c r="D266" s="3" t="s">
        <v>471</v>
      </c>
    </row>
    <row r="267" spans="1:4">
      <c r="A267" s="50"/>
      <c r="B267" s="51"/>
      <c r="C267" s="44">
        <v>4014178203</v>
      </c>
      <c r="D267" s="3" t="s">
        <v>473</v>
      </c>
    </row>
    <row r="268" spans="1:4">
      <c r="A268" s="50"/>
      <c r="B268" s="51"/>
      <c r="C268" s="44">
        <v>4014178401</v>
      </c>
      <c r="D268" s="3" t="s">
        <v>146</v>
      </c>
    </row>
    <row r="269" spans="1:4">
      <c r="A269" s="50"/>
      <c r="B269" s="51"/>
      <c r="C269" s="46">
        <v>4014178402</v>
      </c>
      <c r="D269" s="45" t="s">
        <v>147</v>
      </c>
    </row>
    <row r="270" spans="1:4">
      <c r="A270" s="47"/>
      <c r="B270" s="8"/>
      <c r="C270" s="44">
        <v>4014178403</v>
      </c>
      <c r="D270" s="3" t="s">
        <v>148</v>
      </c>
    </row>
    <row r="271" spans="1:4">
      <c r="A271" s="47"/>
      <c r="B271" s="8"/>
      <c r="C271" s="44">
        <v>4014178601</v>
      </c>
      <c r="D271" s="3" t="s">
        <v>495</v>
      </c>
    </row>
    <row r="272" spans="1:4">
      <c r="A272" s="44"/>
      <c r="B272" s="3"/>
      <c r="C272" s="44">
        <v>4014178901</v>
      </c>
      <c r="D272" s="3" t="s">
        <v>520</v>
      </c>
    </row>
    <row r="273" spans="1:4">
      <c r="A273" s="47">
        <v>401421</v>
      </c>
      <c r="B273" s="8" t="s">
        <v>789</v>
      </c>
      <c r="C273" s="44">
        <v>4014210902</v>
      </c>
      <c r="D273" s="3" t="s">
        <v>790</v>
      </c>
    </row>
    <row r="274" spans="1:4">
      <c r="A274" s="47"/>
      <c r="B274" s="8"/>
      <c r="C274" s="44">
        <v>4014212301</v>
      </c>
      <c r="D274" s="3" t="s">
        <v>95</v>
      </c>
    </row>
    <row r="275" spans="1:4">
      <c r="A275" s="47"/>
      <c r="B275" s="8"/>
      <c r="C275" s="44">
        <v>4014218501</v>
      </c>
      <c r="D275" s="3" t="s">
        <v>550</v>
      </c>
    </row>
    <row r="276" spans="1:4">
      <c r="A276" s="47"/>
      <c r="B276" s="8"/>
      <c r="C276" s="44">
        <v>4014218502</v>
      </c>
      <c r="D276" s="3" t="s">
        <v>549</v>
      </c>
    </row>
    <row r="277" spans="1:4">
      <c r="A277" s="47"/>
      <c r="B277" s="8"/>
      <c r="C277" s="44">
        <v>4014218902</v>
      </c>
      <c r="D277" s="3" t="s">
        <v>492</v>
      </c>
    </row>
    <row r="278" spans="1:4">
      <c r="A278" s="47"/>
      <c r="B278" s="8"/>
      <c r="C278" s="44">
        <v>4014219701</v>
      </c>
      <c r="D278" s="3" t="s">
        <v>513</v>
      </c>
    </row>
    <row r="279" spans="1:4">
      <c r="A279" s="44"/>
      <c r="B279" s="3"/>
      <c r="C279" s="44">
        <v>4014219702</v>
      </c>
      <c r="D279" s="3" t="s">
        <v>512</v>
      </c>
    </row>
    <row r="280" spans="1:4">
      <c r="A280" s="47">
        <v>401423</v>
      </c>
      <c r="B280" s="8" t="s">
        <v>791</v>
      </c>
      <c r="C280" s="44">
        <v>4014231201</v>
      </c>
      <c r="D280" s="3" t="s">
        <v>792</v>
      </c>
    </row>
    <row r="281" spans="1:4">
      <c r="A281" s="47"/>
      <c r="B281" s="8"/>
      <c r="C281" s="44">
        <v>4014238401</v>
      </c>
      <c r="D281" s="3" t="s">
        <v>494</v>
      </c>
    </row>
    <row r="282" spans="1:4">
      <c r="A282" s="47"/>
      <c r="B282" s="8"/>
      <c r="C282" s="44">
        <v>4014239301</v>
      </c>
      <c r="D282" s="3" t="s">
        <v>516</v>
      </c>
    </row>
    <row r="283" spans="1:4">
      <c r="A283" s="47"/>
      <c r="B283" s="8"/>
      <c r="C283" s="44">
        <v>4014239302</v>
      </c>
      <c r="D283" s="3" t="s">
        <v>515</v>
      </c>
    </row>
    <row r="284" spans="1:4">
      <c r="A284" s="47"/>
      <c r="B284" s="8"/>
      <c r="C284" s="44">
        <v>4014239601</v>
      </c>
      <c r="D284" s="3" t="s">
        <v>553</v>
      </c>
    </row>
    <row r="285" spans="1:4">
      <c r="A285" s="44"/>
      <c r="B285" s="3"/>
      <c r="C285" s="44">
        <v>4014239604</v>
      </c>
      <c r="D285" s="3" t="s">
        <v>554</v>
      </c>
    </row>
    <row r="286" spans="1:4">
      <c r="A286" s="47">
        <v>401515</v>
      </c>
      <c r="B286" s="8" t="s">
        <v>793</v>
      </c>
      <c r="C286" s="44">
        <v>4015150301</v>
      </c>
      <c r="D286" s="3" t="s">
        <v>124</v>
      </c>
    </row>
    <row r="287" spans="1:4">
      <c r="A287" s="47"/>
      <c r="B287" s="8"/>
      <c r="C287" s="44">
        <v>4015150302</v>
      </c>
      <c r="D287" s="3" t="s">
        <v>125</v>
      </c>
    </row>
    <row r="288" spans="1:4">
      <c r="A288" s="47"/>
      <c r="B288" s="8"/>
      <c r="C288" s="44">
        <v>4015150303</v>
      </c>
      <c r="D288" s="3" t="s">
        <v>126</v>
      </c>
    </row>
    <row r="289" spans="1:4">
      <c r="A289" s="47"/>
      <c r="B289" s="8"/>
      <c r="C289" s="44">
        <v>4015150304</v>
      </c>
      <c r="D289" s="3" t="s">
        <v>127</v>
      </c>
    </row>
    <row r="290" spans="1:4">
      <c r="A290" s="47"/>
      <c r="B290" s="8"/>
      <c r="C290" s="44">
        <v>4015150501</v>
      </c>
      <c r="D290" s="3" t="s">
        <v>129</v>
      </c>
    </row>
    <row r="291" spans="1:4">
      <c r="A291" s="47"/>
      <c r="B291" s="8"/>
      <c r="C291" s="44">
        <v>4015151301</v>
      </c>
      <c r="D291" s="3" t="s">
        <v>119</v>
      </c>
    </row>
    <row r="292" spans="1:4">
      <c r="A292" s="47"/>
      <c r="B292" s="8"/>
      <c r="C292" s="44">
        <v>4015151302</v>
      </c>
      <c r="D292" s="3" t="s">
        <v>120</v>
      </c>
    </row>
    <row r="293" spans="1:4">
      <c r="A293" s="47"/>
      <c r="B293" s="8"/>
      <c r="C293" s="44">
        <v>4015151701</v>
      </c>
      <c r="D293" s="3" t="s">
        <v>123</v>
      </c>
    </row>
    <row r="294" spans="1:4">
      <c r="A294" s="47"/>
      <c r="B294" s="8"/>
      <c r="C294" s="44">
        <v>4015152501</v>
      </c>
      <c r="D294" s="3" t="s">
        <v>121</v>
      </c>
    </row>
    <row r="295" spans="1:4">
      <c r="A295" s="47"/>
      <c r="B295" s="8"/>
      <c r="C295" s="44">
        <v>4015154601</v>
      </c>
      <c r="D295" s="3" t="s">
        <v>130</v>
      </c>
    </row>
    <row r="296" spans="1:4">
      <c r="A296" s="47"/>
      <c r="B296" s="8"/>
      <c r="C296" s="44">
        <v>4015154701</v>
      </c>
      <c r="D296" s="3" t="s">
        <v>122</v>
      </c>
    </row>
    <row r="297" spans="1:4">
      <c r="A297" s="47"/>
      <c r="B297" s="8"/>
      <c r="C297" s="44">
        <v>4015155301</v>
      </c>
      <c r="D297" s="3" t="s">
        <v>128</v>
      </c>
    </row>
    <row r="298" spans="1:4">
      <c r="A298" s="47"/>
      <c r="B298" s="8"/>
      <c r="C298" s="44">
        <v>4015156601</v>
      </c>
      <c r="D298" s="3" t="s">
        <v>116</v>
      </c>
    </row>
    <row r="299" spans="1:4">
      <c r="A299" s="47"/>
      <c r="B299" s="8"/>
      <c r="C299" s="44">
        <v>4015157001</v>
      </c>
      <c r="D299" s="3" t="s">
        <v>117</v>
      </c>
    </row>
    <row r="300" spans="1:4">
      <c r="A300" s="44"/>
      <c r="B300" s="3"/>
      <c r="C300" s="44">
        <v>4015157002</v>
      </c>
      <c r="D300" s="3" t="s">
        <v>118</v>
      </c>
    </row>
    <row r="301" spans="1:4">
      <c r="A301" s="47">
        <v>401615</v>
      </c>
      <c r="B301" s="8" t="s">
        <v>794</v>
      </c>
      <c r="C301" s="44">
        <v>4016150201</v>
      </c>
      <c r="D301" s="3" t="s">
        <v>195</v>
      </c>
    </row>
    <row r="302" spans="1:4">
      <c r="A302" s="47"/>
      <c r="B302" s="8"/>
      <c r="C302" s="44">
        <v>4016150306</v>
      </c>
      <c r="D302" s="3" t="s">
        <v>158</v>
      </c>
    </row>
    <row r="303" spans="1:4">
      <c r="A303" s="50"/>
      <c r="B303" s="51"/>
      <c r="C303" s="44">
        <v>4016150501</v>
      </c>
      <c r="D303" s="3" t="s">
        <v>795</v>
      </c>
    </row>
    <row r="304" spans="1:4">
      <c r="A304" s="46"/>
      <c r="B304" s="45"/>
      <c r="C304" s="44">
        <v>4016150801</v>
      </c>
      <c r="D304" s="3" t="s">
        <v>157</v>
      </c>
    </row>
    <row r="305" spans="1:4">
      <c r="A305" s="47">
        <v>401616</v>
      </c>
      <c r="B305" s="8" t="s">
        <v>796</v>
      </c>
      <c r="C305" s="44">
        <v>4016160501</v>
      </c>
      <c r="D305" s="3" t="s">
        <v>192</v>
      </c>
    </row>
    <row r="306" spans="1:4">
      <c r="A306" s="44"/>
      <c r="B306" s="3"/>
      <c r="C306" s="44">
        <v>4016160701</v>
      </c>
      <c r="D306" s="3" t="s">
        <v>201</v>
      </c>
    </row>
    <row r="307" spans="1:4">
      <c r="A307" s="44">
        <v>401617</v>
      </c>
      <c r="B307" s="3" t="s">
        <v>797</v>
      </c>
      <c r="C307" s="44">
        <v>4016170101</v>
      </c>
      <c r="D307" s="3" t="s">
        <v>212</v>
      </c>
    </row>
    <row r="308" spans="1:4">
      <c r="A308" s="44">
        <v>401725</v>
      </c>
      <c r="B308" s="3" t="s">
        <v>798</v>
      </c>
      <c r="C308" s="44">
        <v>4017259801</v>
      </c>
      <c r="D308" s="3" t="s">
        <v>96</v>
      </c>
    </row>
    <row r="309" spans="1:4">
      <c r="A309" s="44">
        <v>411032</v>
      </c>
      <c r="B309" s="3" t="s">
        <v>799</v>
      </c>
      <c r="C309" s="44">
        <v>4110320201</v>
      </c>
      <c r="D309" s="3" t="s">
        <v>397</v>
      </c>
    </row>
    <row r="310" spans="1:4">
      <c r="A310" s="47">
        <v>411034</v>
      </c>
      <c r="B310" s="8" t="s">
        <v>800</v>
      </c>
      <c r="C310" s="44">
        <v>4110340601</v>
      </c>
      <c r="D310" s="3" t="s">
        <v>392</v>
      </c>
    </row>
    <row r="311" spans="1:4">
      <c r="A311" s="47"/>
      <c r="B311" s="8"/>
      <c r="C311" s="44">
        <v>4110341501</v>
      </c>
      <c r="D311" s="3" t="s">
        <v>391</v>
      </c>
    </row>
    <row r="312" spans="1:4">
      <c r="A312" s="47"/>
      <c r="B312" s="8"/>
      <c r="C312" s="44">
        <v>4110341801</v>
      </c>
      <c r="D312" s="3" t="s">
        <v>388</v>
      </c>
    </row>
    <row r="313" spans="1:4">
      <c r="A313" s="44"/>
      <c r="B313" s="3"/>
      <c r="C313" s="44">
        <v>4110349101</v>
      </c>
      <c r="D313" s="3" t="s">
        <v>409</v>
      </c>
    </row>
    <row r="314" spans="1:4">
      <c r="A314" s="44">
        <v>411035</v>
      </c>
      <c r="B314" s="3" t="s">
        <v>801</v>
      </c>
      <c r="C314" s="44">
        <v>4110350201</v>
      </c>
      <c r="D314" s="3" t="s">
        <v>396</v>
      </c>
    </row>
    <row r="315" spans="1:4">
      <c r="A315" s="48">
        <v>411042</v>
      </c>
      <c r="B315" s="49" t="s">
        <v>802</v>
      </c>
      <c r="C315" s="44">
        <v>4110420601</v>
      </c>
      <c r="D315" s="3" t="s">
        <v>407</v>
      </c>
    </row>
    <row r="316" spans="1:4">
      <c r="A316" s="46">
        <v>411046</v>
      </c>
      <c r="B316" s="45" t="s">
        <v>803</v>
      </c>
      <c r="C316" s="44">
        <v>4110460101</v>
      </c>
      <c r="D316" s="3" t="s">
        <v>804</v>
      </c>
    </row>
    <row r="317" spans="1:4">
      <c r="A317" s="44">
        <v>411067</v>
      </c>
      <c r="B317" s="3" t="s">
        <v>805</v>
      </c>
      <c r="C317" s="44">
        <v>4110670501</v>
      </c>
      <c r="D317" s="3" t="s">
        <v>393</v>
      </c>
    </row>
    <row r="318" spans="1:4">
      <c r="A318" s="44">
        <v>411124</v>
      </c>
      <c r="B318" s="3" t="s">
        <v>806</v>
      </c>
      <c r="C318" s="44">
        <v>4111249801</v>
      </c>
      <c r="D318" s="3" t="s">
        <v>376</v>
      </c>
    </row>
    <row r="319" spans="1:4">
      <c r="A319" s="47">
        <v>411125</v>
      </c>
      <c r="B319" s="8" t="s">
        <v>807</v>
      </c>
      <c r="C319" s="44">
        <v>4111250101</v>
      </c>
      <c r="D319" s="3" t="s">
        <v>364</v>
      </c>
    </row>
    <row r="320" spans="1:4">
      <c r="A320" s="44"/>
      <c r="B320" s="3"/>
      <c r="C320" s="44">
        <v>4111250401</v>
      </c>
      <c r="D320" s="3" t="s">
        <v>363</v>
      </c>
    </row>
    <row r="321" spans="1:4">
      <c r="A321" s="44">
        <v>411136</v>
      </c>
      <c r="B321" s="3" t="s">
        <v>808</v>
      </c>
      <c r="C321" s="44">
        <v>4111368901</v>
      </c>
      <c r="D321" s="3" t="s">
        <v>406</v>
      </c>
    </row>
    <row r="322" spans="1:4" ht="21.6">
      <c r="A322" s="44">
        <v>421819</v>
      </c>
      <c r="B322" s="3" t="s">
        <v>809</v>
      </c>
      <c r="C322" s="44">
        <v>4218190401</v>
      </c>
      <c r="D322" s="3" t="s">
        <v>810</v>
      </c>
    </row>
    <row r="323" spans="1:4" ht="21.6">
      <c r="A323" s="44">
        <v>422815</v>
      </c>
      <c r="B323" s="3" t="s">
        <v>811</v>
      </c>
      <c r="C323" s="44">
        <v>4228159601</v>
      </c>
      <c r="D323" s="3" t="s">
        <v>384</v>
      </c>
    </row>
    <row r="324" spans="1:4">
      <c r="A324" s="44">
        <v>431915</v>
      </c>
      <c r="B324" s="3" t="s">
        <v>812</v>
      </c>
      <c r="C324" s="44">
        <v>4319151001</v>
      </c>
      <c r="D324" s="3" t="s">
        <v>419</v>
      </c>
    </row>
    <row r="325" spans="1:4">
      <c r="A325" s="48">
        <v>432018</v>
      </c>
      <c r="B325" s="49" t="s">
        <v>813</v>
      </c>
      <c r="C325" s="44">
        <v>4320180201</v>
      </c>
      <c r="D325" s="3" t="s">
        <v>415</v>
      </c>
    </row>
    <row r="326" spans="1:4">
      <c r="A326" s="50">
        <v>432115</v>
      </c>
      <c r="B326" s="51" t="s">
        <v>814</v>
      </c>
      <c r="C326" s="44">
        <v>4321150102</v>
      </c>
      <c r="D326" s="3" t="s">
        <v>431</v>
      </c>
    </row>
    <row r="327" spans="1:4">
      <c r="A327" s="47"/>
      <c r="B327" s="8"/>
      <c r="C327" s="44">
        <v>4321150701</v>
      </c>
      <c r="D327" s="3" t="s">
        <v>381</v>
      </c>
    </row>
    <row r="328" spans="1:4">
      <c r="A328" s="47"/>
      <c r="B328" s="8"/>
      <c r="C328" s="44">
        <v>4321151402</v>
      </c>
      <c r="D328" s="3" t="s">
        <v>413</v>
      </c>
    </row>
    <row r="329" spans="1:4">
      <c r="A329" s="47"/>
      <c r="B329" s="8"/>
      <c r="C329" s="44">
        <v>4321151403</v>
      </c>
      <c r="D329" s="3" t="s">
        <v>414</v>
      </c>
    </row>
    <row r="330" spans="1:4">
      <c r="A330" s="47"/>
      <c r="B330" s="8"/>
      <c r="C330" s="44">
        <v>4321159301</v>
      </c>
      <c r="D330" s="3" t="s">
        <v>382</v>
      </c>
    </row>
    <row r="331" spans="1:4">
      <c r="A331" s="50"/>
      <c r="B331" s="51"/>
      <c r="C331" s="44">
        <v>4321159401</v>
      </c>
      <c r="D331" s="3" t="s">
        <v>420</v>
      </c>
    </row>
    <row r="332" spans="1:4" ht="21.6">
      <c r="A332" s="50">
        <v>432215</v>
      </c>
      <c r="B332" s="51" t="s">
        <v>815</v>
      </c>
      <c r="C332" s="44">
        <v>4322150101</v>
      </c>
      <c r="D332" s="3" t="s">
        <v>428</v>
      </c>
    </row>
    <row r="333" spans="1:4">
      <c r="A333" s="46"/>
      <c r="B333" s="45"/>
      <c r="C333" s="46">
        <v>4322152101</v>
      </c>
      <c r="D333" s="45" t="s">
        <v>423</v>
      </c>
    </row>
    <row r="334" spans="1:4">
      <c r="A334" s="47">
        <v>432217</v>
      </c>
      <c r="B334" s="8" t="s">
        <v>816</v>
      </c>
      <c r="C334" s="44">
        <v>4322172101</v>
      </c>
      <c r="D334" s="3" t="s">
        <v>418</v>
      </c>
    </row>
    <row r="335" spans="1:4">
      <c r="A335" s="44"/>
      <c r="B335" s="3"/>
      <c r="C335" s="44">
        <v>4322172104</v>
      </c>
      <c r="D335" s="3" t="s">
        <v>417</v>
      </c>
    </row>
    <row r="336" spans="1:4">
      <c r="A336" s="44">
        <v>432218</v>
      </c>
      <c r="B336" s="3" t="s">
        <v>817</v>
      </c>
      <c r="C336" s="44">
        <v>4322181001</v>
      </c>
      <c r="D336" s="3" t="s">
        <v>411</v>
      </c>
    </row>
    <row r="337" spans="1:4">
      <c r="A337" s="56">
        <v>432226</v>
      </c>
      <c r="B337" s="8" t="s">
        <v>818</v>
      </c>
      <c r="C337" s="7">
        <v>4322269601</v>
      </c>
      <c r="D337" s="3" t="s">
        <v>427</v>
      </c>
    </row>
    <row r="338" spans="1:4">
      <c r="A338" s="44"/>
      <c r="B338" s="3"/>
      <c r="C338" s="44">
        <v>4322269602</v>
      </c>
      <c r="D338" s="3" t="s">
        <v>819</v>
      </c>
    </row>
    <row r="339" spans="1:4">
      <c r="A339" s="47">
        <v>432228</v>
      </c>
      <c r="B339" s="8" t="s">
        <v>820</v>
      </c>
      <c r="C339" s="44">
        <v>4322281805</v>
      </c>
      <c r="D339" s="3" t="s">
        <v>429</v>
      </c>
    </row>
    <row r="340" spans="1:4">
      <c r="A340" s="44"/>
      <c r="B340" s="3"/>
      <c r="C340" s="44">
        <v>4322289701</v>
      </c>
      <c r="D340" s="3" t="s">
        <v>821</v>
      </c>
    </row>
    <row r="341" spans="1:4">
      <c r="A341" s="44">
        <v>441031</v>
      </c>
      <c r="B341" s="3" t="s">
        <v>822</v>
      </c>
      <c r="C341" s="44">
        <v>4410310301</v>
      </c>
      <c r="D341" s="3" t="s">
        <v>503</v>
      </c>
    </row>
    <row r="342" spans="1:4">
      <c r="A342" s="47">
        <v>441119</v>
      </c>
      <c r="B342" s="8" t="s">
        <v>823</v>
      </c>
      <c r="C342" s="44">
        <v>4411190701</v>
      </c>
      <c r="D342" s="3" t="s">
        <v>824</v>
      </c>
    </row>
    <row r="343" spans="1:4">
      <c r="A343" s="44"/>
      <c r="B343" s="3"/>
      <c r="C343" s="44">
        <v>4411191101</v>
      </c>
      <c r="D343" s="3" t="s">
        <v>401</v>
      </c>
    </row>
    <row r="344" spans="1:4">
      <c r="A344" s="44">
        <v>441120</v>
      </c>
      <c r="B344" s="3" t="s">
        <v>825</v>
      </c>
      <c r="C344" s="44">
        <v>4411200201</v>
      </c>
      <c r="D344" s="3" t="s">
        <v>306</v>
      </c>
    </row>
    <row r="345" spans="1:4">
      <c r="A345" s="44">
        <v>441215</v>
      </c>
      <c r="B345" s="3" t="s">
        <v>826</v>
      </c>
      <c r="C345" s="44">
        <v>4412150401</v>
      </c>
      <c r="D345" s="3" t="s">
        <v>827</v>
      </c>
    </row>
    <row r="346" spans="1:4">
      <c r="A346" s="47">
        <v>451116</v>
      </c>
      <c r="B346" s="8" t="s">
        <v>828</v>
      </c>
      <c r="C346" s="44">
        <v>4511160301</v>
      </c>
      <c r="D346" s="3" t="s">
        <v>399</v>
      </c>
    </row>
    <row r="347" spans="1:4">
      <c r="A347" s="44"/>
      <c r="B347" s="3"/>
      <c r="C347" s="44">
        <v>4511169701</v>
      </c>
      <c r="D347" s="3" t="s">
        <v>398</v>
      </c>
    </row>
    <row r="348" spans="1:4" ht="21.6">
      <c r="A348" s="44">
        <v>451117</v>
      </c>
      <c r="B348" s="3" t="s">
        <v>829</v>
      </c>
      <c r="C348" s="44">
        <v>4511170501</v>
      </c>
      <c r="D348" s="3" t="s">
        <v>383</v>
      </c>
    </row>
    <row r="349" spans="1:4">
      <c r="A349" s="47">
        <v>451118</v>
      </c>
      <c r="B349" s="8" t="s">
        <v>830</v>
      </c>
      <c r="C349" s="44">
        <v>4511181001</v>
      </c>
      <c r="D349" s="3" t="s">
        <v>395</v>
      </c>
    </row>
    <row r="350" spans="1:4">
      <c r="A350" s="46"/>
      <c r="B350" s="45"/>
      <c r="C350" s="46">
        <v>4511189301</v>
      </c>
      <c r="D350" s="45" t="s">
        <v>412</v>
      </c>
    </row>
    <row r="351" spans="1:4">
      <c r="A351" s="50">
        <v>461615</v>
      </c>
      <c r="B351" s="51" t="s">
        <v>831</v>
      </c>
      <c r="C351" s="46">
        <v>4616150401</v>
      </c>
      <c r="D351" s="45" t="s">
        <v>344</v>
      </c>
    </row>
    <row r="352" spans="1:4">
      <c r="A352" s="47"/>
      <c r="B352" s="8"/>
      <c r="C352" s="44">
        <v>4616150403</v>
      </c>
      <c r="D352" s="3" t="s">
        <v>345</v>
      </c>
    </row>
    <row r="353" spans="1:4">
      <c r="A353" s="47"/>
      <c r="B353" s="8"/>
      <c r="C353" s="44">
        <v>4616151601</v>
      </c>
      <c r="D353" s="3" t="s">
        <v>434</v>
      </c>
    </row>
    <row r="354" spans="1:4">
      <c r="A354" s="47"/>
      <c r="B354" s="8"/>
      <c r="C354" s="44">
        <v>4616152604</v>
      </c>
      <c r="D354" s="3" t="s">
        <v>832</v>
      </c>
    </row>
    <row r="355" spans="1:4">
      <c r="A355" s="47"/>
      <c r="B355" s="8"/>
      <c r="C355" s="44">
        <v>4616157001</v>
      </c>
      <c r="D355" s="3" t="s">
        <v>833</v>
      </c>
    </row>
    <row r="356" spans="1:4">
      <c r="A356" s="47"/>
      <c r="B356" s="8"/>
      <c r="C356" s="44">
        <v>4616157201</v>
      </c>
      <c r="D356" s="3" t="s">
        <v>346</v>
      </c>
    </row>
    <row r="357" spans="1:4">
      <c r="A357" s="47"/>
      <c r="B357" s="8"/>
      <c r="C357" s="44">
        <v>4616158501</v>
      </c>
      <c r="D357" s="3" t="s">
        <v>348</v>
      </c>
    </row>
    <row r="358" spans="1:4">
      <c r="A358" s="44"/>
      <c r="B358" s="3"/>
      <c r="C358" s="44">
        <v>4616159101</v>
      </c>
      <c r="D358" s="3" t="s">
        <v>347</v>
      </c>
    </row>
    <row r="359" spans="1:4">
      <c r="A359" s="48">
        <v>461716</v>
      </c>
      <c r="B359" s="49" t="s">
        <v>834</v>
      </c>
      <c r="C359" s="44">
        <v>4617161002</v>
      </c>
      <c r="D359" s="3" t="s">
        <v>433</v>
      </c>
    </row>
    <row r="360" spans="1:4">
      <c r="A360" s="50"/>
      <c r="B360" s="51"/>
      <c r="C360" s="44">
        <v>4617161901</v>
      </c>
      <c r="D360" s="3" t="s">
        <v>430</v>
      </c>
    </row>
    <row r="361" spans="1:4">
      <c r="A361" s="50"/>
      <c r="B361" s="51"/>
      <c r="C361" s="44">
        <v>4617162201</v>
      </c>
      <c r="D361" s="3" t="s">
        <v>432</v>
      </c>
    </row>
    <row r="362" spans="1:4">
      <c r="A362" s="50">
        <v>461815</v>
      </c>
      <c r="B362" s="51" t="s">
        <v>835</v>
      </c>
      <c r="C362" s="44">
        <v>4618150701</v>
      </c>
      <c r="D362" s="3" t="s">
        <v>268</v>
      </c>
    </row>
    <row r="363" spans="1:4">
      <c r="A363" s="47"/>
      <c r="B363" s="8"/>
      <c r="C363" s="44">
        <v>4618150901</v>
      </c>
      <c r="D363" s="3" t="s">
        <v>270</v>
      </c>
    </row>
    <row r="364" spans="1:4">
      <c r="A364" s="50"/>
      <c r="B364" s="51"/>
      <c r="C364" s="44">
        <v>4618150902</v>
      </c>
      <c r="D364" s="3" t="s">
        <v>269</v>
      </c>
    </row>
    <row r="365" spans="1:4">
      <c r="A365" s="46"/>
      <c r="B365" s="45"/>
      <c r="C365" s="44">
        <v>4618152801</v>
      </c>
      <c r="D365" s="3" t="s">
        <v>836</v>
      </c>
    </row>
    <row r="366" spans="1:4">
      <c r="A366" s="44">
        <v>461824</v>
      </c>
      <c r="B366" s="3" t="s">
        <v>837</v>
      </c>
      <c r="C366" s="44">
        <v>4618240101</v>
      </c>
      <c r="D366" s="3" t="s">
        <v>136</v>
      </c>
    </row>
    <row r="367" spans="1:4">
      <c r="A367" s="44">
        <v>461825</v>
      </c>
      <c r="B367" s="3" t="s">
        <v>838</v>
      </c>
      <c r="C367" s="44">
        <v>4618250401</v>
      </c>
      <c r="D367" s="3" t="s">
        <v>141</v>
      </c>
    </row>
    <row r="368" spans="1:4">
      <c r="A368" s="50">
        <v>461916</v>
      </c>
      <c r="B368" s="51" t="s">
        <v>839</v>
      </c>
      <c r="C368" s="46">
        <v>4619160101</v>
      </c>
      <c r="D368" s="45" t="s">
        <v>139</v>
      </c>
    </row>
    <row r="369" spans="1:4">
      <c r="A369" s="50"/>
      <c r="B369" s="51"/>
      <c r="C369" s="44">
        <v>4619160102</v>
      </c>
      <c r="D369" s="3" t="s">
        <v>138</v>
      </c>
    </row>
    <row r="370" spans="1:4">
      <c r="A370" s="46"/>
      <c r="B370" s="45"/>
      <c r="C370" s="44">
        <v>4619160111</v>
      </c>
      <c r="D370" s="3" t="s">
        <v>140</v>
      </c>
    </row>
    <row r="371" spans="1:4">
      <c r="A371" s="48">
        <v>471015</v>
      </c>
      <c r="B371" s="49" t="s">
        <v>840</v>
      </c>
      <c r="C371" s="44">
        <v>4710150102</v>
      </c>
      <c r="D371" s="3" t="s">
        <v>218</v>
      </c>
    </row>
    <row r="372" spans="1:4">
      <c r="A372" s="50"/>
      <c r="B372" s="51"/>
      <c r="C372" s="44">
        <v>4710150501</v>
      </c>
      <c r="D372" s="3" t="s">
        <v>155</v>
      </c>
    </row>
    <row r="373" spans="1:4">
      <c r="A373" s="47"/>
      <c r="B373" s="8"/>
      <c r="C373" s="44">
        <v>4710150502</v>
      </c>
      <c r="D373" s="3" t="s">
        <v>156</v>
      </c>
    </row>
    <row r="374" spans="1:4">
      <c r="A374" s="56"/>
      <c r="B374" s="8"/>
      <c r="C374" s="7">
        <v>4710151201</v>
      </c>
      <c r="D374" s="3" t="s">
        <v>220</v>
      </c>
    </row>
    <row r="375" spans="1:4">
      <c r="A375" s="56"/>
      <c r="B375" s="8"/>
      <c r="C375" s="7">
        <v>4710151202</v>
      </c>
      <c r="D375" s="3" t="s">
        <v>221</v>
      </c>
    </row>
    <row r="376" spans="1:4">
      <c r="A376" s="47"/>
      <c r="B376" s="8"/>
      <c r="C376" s="44">
        <v>4710151301</v>
      </c>
      <c r="D376" s="3" t="s">
        <v>204</v>
      </c>
    </row>
    <row r="377" spans="1:4">
      <c r="A377" s="47"/>
      <c r="B377" s="8"/>
      <c r="C377" s="44">
        <v>4710151701</v>
      </c>
      <c r="D377" s="3" t="s">
        <v>164</v>
      </c>
    </row>
    <row r="378" spans="1:4">
      <c r="A378" s="47"/>
      <c r="B378" s="8"/>
      <c r="C378" s="44">
        <v>4710152201</v>
      </c>
      <c r="D378" s="3" t="s">
        <v>211</v>
      </c>
    </row>
    <row r="379" spans="1:4">
      <c r="A379" s="47"/>
      <c r="B379" s="8"/>
      <c r="C379" s="44">
        <v>4710152501</v>
      </c>
      <c r="D379" s="3" t="s">
        <v>188</v>
      </c>
    </row>
    <row r="380" spans="1:4">
      <c r="A380" s="47"/>
      <c r="B380" s="8"/>
      <c r="C380" s="44">
        <v>4710152502</v>
      </c>
      <c r="D380" s="3" t="s">
        <v>189</v>
      </c>
    </row>
    <row r="381" spans="1:4">
      <c r="A381" s="50"/>
      <c r="B381" s="51"/>
      <c r="C381" s="44">
        <v>4710152503</v>
      </c>
      <c r="D381" s="3" t="s">
        <v>187</v>
      </c>
    </row>
    <row r="382" spans="1:4">
      <c r="A382" s="50"/>
      <c r="B382" s="51"/>
      <c r="C382" s="44">
        <v>4710152504</v>
      </c>
      <c r="D382" s="3" t="s">
        <v>190</v>
      </c>
    </row>
    <row r="383" spans="1:4">
      <c r="A383" s="47"/>
      <c r="B383" s="8"/>
      <c r="C383" s="44">
        <v>4710152505</v>
      </c>
      <c r="D383" s="3" t="s">
        <v>191</v>
      </c>
    </row>
    <row r="384" spans="1:4">
      <c r="A384" s="47"/>
      <c r="B384" s="8"/>
      <c r="C384" s="44">
        <v>4710152507</v>
      </c>
      <c r="D384" s="3" t="s">
        <v>186</v>
      </c>
    </row>
    <row r="385" spans="1:4">
      <c r="A385" s="47"/>
      <c r="B385" s="8"/>
      <c r="C385" s="44">
        <v>4710152901</v>
      </c>
      <c r="D385" s="3" t="s">
        <v>197</v>
      </c>
    </row>
    <row r="386" spans="1:4">
      <c r="A386" s="47"/>
      <c r="B386" s="8"/>
      <c r="C386" s="44">
        <v>4710153501</v>
      </c>
      <c r="D386" s="3" t="s">
        <v>536</v>
      </c>
    </row>
    <row r="387" spans="1:4">
      <c r="A387" s="47"/>
      <c r="B387" s="8"/>
      <c r="C387" s="44">
        <v>4710153601</v>
      </c>
      <c r="D387" s="3" t="s">
        <v>207</v>
      </c>
    </row>
    <row r="388" spans="1:4">
      <c r="A388" s="44"/>
      <c r="B388" s="3"/>
      <c r="C388" s="44">
        <v>4710154201</v>
      </c>
      <c r="D388" s="3" t="s">
        <v>203</v>
      </c>
    </row>
    <row r="389" spans="1:4">
      <c r="A389" s="44">
        <v>471016</v>
      </c>
      <c r="B389" s="3" t="s">
        <v>841</v>
      </c>
      <c r="C389" s="44">
        <v>4710160803</v>
      </c>
      <c r="D389" s="3" t="s">
        <v>842</v>
      </c>
    </row>
    <row r="390" spans="1:4">
      <c r="A390" s="47">
        <v>471099</v>
      </c>
      <c r="B390" s="8" t="s">
        <v>843</v>
      </c>
      <c r="C390" s="7">
        <v>4710996001</v>
      </c>
      <c r="D390" s="3" t="s">
        <v>154</v>
      </c>
    </row>
    <row r="391" spans="1:4">
      <c r="A391" s="47"/>
      <c r="B391" s="51"/>
      <c r="C391" s="7">
        <v>4710996401</v>
      </c>
      <c r="D391" s="3" t="s">
        <v>210</v>
      </c>
    </row>
    <row r="392" spans="1:4">
      <c r="A392" s="47"/>
      <c r="B392" s="51"/>
      <c r="C392" s="9">
        <v>4710996501</v>
      </c>
      <c r="D392" s="6" t="s">
        <v>209</v>
      </c>
    </row>
    <row r="393" spans="1:4">
      <c r="A393" s="47"/>
      <c r="B393" s="51"/>
      <c r="C393" s="9">
        <v>4710997001</v>
      </c>
      <c r="D393" s="6" t="s">
        <v>193</v>
      </c>
    </row>
    <row r="394" spans="1:4">
      <c r="A394" s="47"/>
      <c r="B394" s="51"/>
      <c r="C394" s="9">
        <v>4710997201</v>
      </c>
      <c r="D394" s="6" t="s">
        <v>194</v>
      </c>
    </row>
    <row r="395" spans="1:4">
      <c r="A395" s="47"/>
      <c r="B395" s="51"/>
      <c r="C395" s="9">
        <v>4710997601</v>
      </c>
      <c r="D395" s="6" t="s">
        <v>199</v>
      </c>
    </row>
    <row r="396" spans="1:4">
      <c r="A396" s="47"/>
      <c r="B396" s="51"/>
      <c r="C396" s="9">
        <v>4710997801</v>
      </c>
      <c r="D396" s="6" t="s">
        <v>216</v>
      </c>
    </row>
    <row r="397" spans="1:4">
      <c r="A397" s="47"/>
      <c r="B397" s="51"/>
      <c r="C397" s="9">
        <v>4710997901</v>
      </c>
      <c r="D397" s="6" t="s">
        <v>200</v>
      </c>
    </row>
    <row r="398" spans="1:4">
      <c r="A398" s="47"/>
      <c r="B398" s="8"/>
      <c r="C398" s="44">
        <v>4710998001</v>
      </c>
      <c r="D398" s="3" t="s">
        <v>213</v>
      </c>
    </row>
    <row r="399" spans="1:4">
      <c r="A399" s="47"/>
      <c r="B399" s="8"/>
      <c r="C399" s="44">
        <v>4710998701</v>
      </c>
      <c r="D399" s="3" t="s">
        <v>215</v>
      </c>
    </row>
    <row r="400" spans="1:4">
      <c r="A400" s="47"/>
      <c r="B400" s="8"/>
      <c r="C400" s="44">
        <v>4710998901</v>
      </c>
      <c r="D400" s="3" t="s">
        <v>217</v>
      </c>
    </row>
    <row r="401" spans="1:4">
      <c r="A401" s="47"/>
      <c r="B401" s="8"/>
      <c r="C401" s="44">
        <v>4710999201</v>
      </c>
      <c r="D401" s="3" t="s">
        <v>162</v>
      </c>
    </row>
    <row r="402" spans="1:4">
      <c r="A402" s="47"/>
      <c r="B402" s="51"/>
      <c r="C402" s="7">
        <v>4710999801</v>
      </c>
      <c r="D402" s="3" t="s">
        <v>205</v>
      </c>
    </row>
    <row r="403" spans="1:4">
      <c r="A403" s="47">
        <v>471217</v>
      </c>
      <c r="B403" s="51" t="s">
        <v>844</v>
      </c>
      <c r="C403" s="9">
        <v>4712170101</v>
      </c>
      <c r="D403" s="6" t="s">
        <v>525</v>
      </c>
    </row>
    <row r="404" spans="1:4">
      <c r="A404" s="47"/>
      <c r="B404" s="51"/>
      <c r="C404" s="7">
        <v>4712170201</v>
      </c>
      <c r="D404" s="3" t="s">
        <v>543</v>
      </c>
    </row>
    <row r="405" spans="1:4">
      <c r="A405" s="47"/>
      <c r="B405" s="51"/>
      <c r="C405" s="9">
        <v>4712170202</v>
      </c>
      <c r="D405" s="6" t="s">
        <v>544</v>
      </c>
    </row>
    <row r="406" spans="1:4">
      <c r="A406" s="47">
        <v>481015</v>
      </c>
      <c r="B406" s="51" t="s">
        <v>845</v>
      </c>
      <c r="C406" s="9">
        <v>4810151101</v>
      </c>
      <c r="D406" s="6" t="s">
        <v>174</v>
      </c>
    </row>
    <row r="407" spans="1:4">
      <c r="A407" s="47"/>
      <c r="B407" s="51" t="s">
        <v>846</v>
      </c>
      <c r="C407" s="9">
        <v>4810151701</v>
      </c>
      <c r="D407" s="6" t="s">
        <v>137</v>
      </c>
    </row>
    <row r="408" spans="1:4">
      <c r="A408" s="47"/>
      <c r="B408" s="51"/>
      <c r="C408" s="9">
        <v>4810152101</v>
      </c>
      <c r="D408" s="6" t="s">
        <v>175</v>
      </c>
    </row>
    <row r="409" spans="1:4">
      <c r="A409" s="44"/>
      <c r="B409" s="8"/>
      <c r="C409" s="44">
        <v>4810153002</v>
      </c>
      <c r="D409" s="3" t="s">
        <v>176</v>
      </c>
    </row>
    <row r="410" spans="1:4">
      <c r="A410" s="48">
        <v>481016</v>
      </c>
      <c r="B410" s="51" t="s">
        <v>847</v>
      </c>
      <c r="C410" s="7">
        <v>4810161501</v>
      </c>
      <c r="D410" s="3" t="s">
        <v>177</v>
      </c>
    </row>
    <row r="411" spans="1:4">
      <c r="A411" s="50">
        <v>481017</v>
      </c>
      <c r="B411" s="51" t="s">
        <v>848</v>
      </c>
      <c r="C411" s="9">
        <v>4810171001</v>
      </c>
      <c r="D411" s="6" t="s">
        <v>181</v>
      </c>
    </row>
    <row r="412" spans="1:4">
      <c r="A412" s="50"/>
      <c r="B412" s="51"/>
      <c r="C412" s="9">
        <v>4810179901</v>
      </c>
      <c r="D412" s="6" t="s">
        <v>166</v>
      </c>
    </row>
    <row r="413" spans="1:4">
      <c r="A413" s="50">
        <v>481018</v>
      </c>
      <c r="B413" s="51" t="s">
        <v>849</v>
      </c>
      <c r="C413" s="5">
        <v>4810180901</v>
      </c>
      <c r="D413" s="6" t="s">
        <v>173</v>
      </c>
    </row>
    <row r="414" spans="1:4">
      <c r="A414" s="47"/>
      <c r="B414" s="8"/>
      <c r="C414" s="44">
        <v>4810181801</v>
      </c>
      <c r="D414" s="3" t="s">
        <v>182</v>
      </c>
    </row>
    <row r="415" spans="1:4">
      <c r="A415" s="7"/>
      <c r="B415" s="3"/>
      <c r="C415" s="9">
        <v>4810189601</v>
      </c>
      <c r="D415" s="6" t="s">
        <v>178</v>
      </c>
    </row>
    <row r="416" spans="1:4">
      <c r="A416" s="48">
        <v>481020</v>
      </c>
      <c r="B416" s="49" t="s">
        <v>850</v>
      </c>
      <c r="C416" s="44">
        <v>4810209501</v>
      </c>
      <c r="D416" s="3" t="s">
        <v>22</v>
      </c>
    </row>
    <row r="417" spans="1:4">
      <c r="A417" s="50"/>
      <c r="B417" s="51"/>
      <c r="C417" s="44">
        <v>4810209601</v>
      </c>
      <c r="D417" s="3" t="s">
        <v>37</v>
      </c>
    </row>
    <row r="418" spans="1:4">
      <c r="A418" s="47"/>
      <c r="B418" s="8"/>
      <c r="C418" s="44">
        <v>4810209701</v>
      </c>
      <c r="D418" s="3" t="s">
        <v>172</v>
      </c>
    </row>
    <row r="419" spans="1:4">
      <c r="A419" s="44"/>
      <c r="B419" s="3"/>
      <c r="C419" s="44">
        <v>4810209901</v>
      </c>
      <c r="D419" s="3" t="s">
        <v>39</v>
      </c>
    </row>
    <row r="420" spans="1:4">
      <c r="A420" s="47">
        <v>491215</v>
      </c>
      <c r="B420" s="8" t="s">
        <v>851</v>
      </c>
      <c r="C420" s="44">
        <v>4912150301</v>
      </c>
      <c r="D420" s="3" t="s">
        <v>276</v>
      </c>
    </row>
    <row r="421" spans="1:4">
      <c r="A421" s="47"/>
      <c r="B421" s="8"/>
      <c r="C421" s="44">
        <v>4912150302</v>
      </c>
      <c r="D421" s="3" t="s">
        <v>277</v>
      </c>
    </row>
    <row r="422" spans="1:4">
      <c r="A422" s="50"/>
      <c r="B422" s="51"/>
      <c r="C422" s="46">
        <v>4912150401</v>
      </c>
      <c r="D422" s="45" t="s">
        <v>278</v>
      </c>
    </row>
    <row r="423" spans="1:4">
      <c r="A423" s="44"/>
      <c r="B423" s="3"/>
      <c r="C423" s="44">
        <v>4912159601</v>
      </c>
      <c r="D423" s="3" t="s">
        <v>852</v>
      </c>
    </row>
    <row r="424" spans="1:4">
      <c r="A424" s="44">
        <v>492015</v>
      </c>
      <c r="B424" s="3" t="s">
        <v>853</v>
      </c>
      <c r="C424" s="44">
        <v>4920150101</v>
      </c>
      <c r="D424" s="3" t="s">
        <v>85</v>
      </c>
    </row>
    <row r="425" spans="1:4">
      <c r="A425" s="47">
        <v>492016</v>
      </c>
      <c r="B425" s="8" t="s">
        <v>854</v>
      </c>
      <c r="C425" s="44">
        <v>4920160301</v>
      </c>
      <c r="D425" s="3" t="s">
        <v>86</v>
      </c>
    </row>
    <row r="426" spans="1:4">
      <c r="A426" s="47"/>
      <c r="B426" s="8"/>
      <c r="C426" s="44">
        <v>4920160311</v>
      </c>
      <c r="D426" s="3" t="s">
        <v>87</v>
      </c>
    </row>
    <row r="427" spans="1:4">
      <c r="A427" s="47"/>
      <c r="B427" s="8"/>
      <c r="C427" s="44">
        <v>4920160502</v>
      </c>
      <c r="D427" s="3" t="s">
        <v>84</v>
      </c>
    </row>
    <row r="428" spans="1:4">
      <c r="A428" s="44"/>
      <c r="B428" s="3"/>
      <c r="C428" s="44">
        <v>4920169701</v>
      </c>
      <c r="D428" s="3" t="s">
        <v>855</v>
      </c>
    </row>
    <row r="429" spans="1:4">
      <c r="A429" s="50">
        <v>492215</v>
      </c>
      <c r="B429" s="51" t="s">
        <v>856</v>
      </c>
      <c r="C429" s="44">
        <v>4922150101</v>
      </c>
      <c r="D429" s="3" t="s">
        <v>71</v>
      </c>
    </row>
    <row r="430" spans="1:4">
      <c r="A430" s="44"/>
      <c r="B430" s="3"/>
      <c r="C430" s="44">
        <v>4922158401</v>
      </c>
      <c r="D430" s="3" t="s">
        <v>50</v>
      </c>
    </row>
    <row r="431" spans="1:4">
      <c r="A431" s="47">
        <v>492415</v>
      </c>
      <c r="B431" s="8" t="s">
        <v>857</v>
      </c>
      <c r="C431" s="44">
        <v>4924151101</v>
      </c>
      <c r="D431" s="3" t="s">
        <v>90</v>
      </c>
    </row>
    <row r="432" spans="1:4">
      <c r="A432" s="47"/>
      <c r="B432" s="8"/>
      <c r="C432" s="44">
        <v>4924159601</v>
      </c>
      <c r="D432" s="3" t="s">
        <v>858</v>
      </c>
    </row>
    <row r="433" spans="1:4">
      <c r="A433" s="44"/>
      <c r="B433" s="3"/>
      <c r="C433" s="44">
        <v>4924159701</v>
      </c>
      <c r="D433" s="3" t="s">
        <v>89</v>
      </c>
    </row>
    <row r="434" spans="1:4">
      <c r="A434" s="47">
        <v>501120</v>
      </c>
      <c r="B434" s="8" t="s">
        <v>859</v>
      </c>
      <c r="C434" s="44">
        <v>5011209901</v>
      </c>
      <c r="D434" s="3" t="s">
        <v>296</v>
      </c>
    </row>
    <row r="435" spans="1:4">
      <c r="A435" s="50"/>
      <c r="B435" s="51"/>
      <c r="C435" s="44">
        <v>5011209902</v>
      </c>
      <c r="D435" s="3" t="s">
        <v>860</v>
      </c>
    </row>
    <row r="436" spans="1:4">
      <c r="A436" s="50">
        <v>501215</v>
      </c>
      <c r="B436" s="51" t="s">
        <v>861</v>
      </c>
      <c r="C436" s="44">
        <v>5012159802</v>
      </c>
      <c r="D436" s="3" t="s">
        <v>862</v>
      </c>
    </row>
    <row r="437" spans="1:4">
      <c r="A437" s="47"/>
      <c r="B437" s="8"/>
      <c r="C437" s="44">
        <v>5012159804</v>
      </c>
      <c r="D437" s="3" t="s">
        <v>295</v>
      </c>
    </row>
    <row r="438" spans="1:4">
      <c r="A438" s="44"/>
      <c r="B438" s="3"/>
      <c r="C438" s="44">
        <v>5012161301</v>
      </c>
      <c r="D438" s="3" t="s">
        <v>300</v>
      </c>
    </row>
    <row r="439" spans="1:4">
      <c r="A439" s="44">
        <v>501218</v>
      </c>
      <c r="B439" s="3" t="s">
        <v>863</v>
      </c>
      <c r="C439" s="44">
        <v>5012180401</v>
      </c>
      <c r="D439" s="3" t="s">
        <v>297</v>
      </c>
    </row>
    <row r="440" spans="1:4">
      <c r="A440" s="47">
        <v>501718</v>
      </c>
      <c r="B440" s="8" t="s">
        <v>864</v>
      </c>
      <c r="C440" s="44">
        <v>5017183101</v>
      </c>
      <c r="D440" s="3" t="s">
        <v>865</v>
      </c>
    </row>
    <row r="441" spans="1:4">
      <c r="A441" s="50"/>
      <c r="B441" s="51"/>
      <c r="C441" s="46">
        <v>5017183102</v>
      </c>
      <c r="D441" s="45" t="s">
        <v>298</v>
      </c>
    </row>
    <row r="442" spans="1:4">
      <c r="A442" s="50">
        <v>501720</v>
      </c>
      <c r="B442" s="51" t="s">
        <v>866</v>
      </c>
      <c r="C442" s="46">
        <v>5017200101</v>
      </c>
      <c r="D442" s="45" t="s">
        <v>867</v>
      </c>
    </row>
    <row r="443" spans="1:4">
      <c r="A443" s="47"/>
      <c r="B443" s="8"/>
      <c r="C443" s="44">
        <v>5017200201</v>
      </c>
      <c r="D443" s="3" t="s">
        <v>868</v>
      </c>
    </row>
    <row r="444" spans="1:4">
      <c r="A444" s="50"/>
      <c r="B444" s="51"/>
      <c r="C444" s="44">
        <v>5017200301</v>
      </c>
      <c r="D444" s="3" t="s">
        <v>869</v>
      </c>
    </row>
    <row r="445" spans="1:4">
      <c r="A445" s="50">
        <v>501819</v>
      </c>
      <c r="B445" s="51" t="s">
        <v>870</v>
      </c>
      <c r="C445" s="44">
        <v>5018190101</v>
      </c>
      <c r="D445" s="3" t="s">
        <v>294</v>
      </c>
    </row>
    <row r="446" spans="1:4">
      <c r="A446" s="47"/>
      <c r="B446" s="8"/>
      <c r="C446" s="44">
        <v>5018190201</v>
      </c>
      <c r="D446" s="3" t="s">
        <v>291</v>
      </c>
    </row>
    <row r="447" spans="1:4">
      <c r="A447" s="50"/>
      <c r="B447" s="51"/>
      <c r="C447" s="44">
        <v>5018190401</v>
      </c>
      <c r="D447" s="3" t="s">
        <v>292</v>
      </c>
    </row>
    <row r="448" spans="1:4">
      <c r="A448" s="50"/>
      <c r="B448" s="51"/>
      <c r="C448" s="44">
        <v>5018190502</v>
      </c>
      <c r="D448" s="3" t="s">
        <v>290</v>
      </c>
    </row>
    <row r="449" spans="1:4">
      <c r="A449" s="50"/>
      <c r="B449" s="51"/>
      <c r="C449" s="44">
        <v>5018190601</v>
      </c>
      <c r="D449" s="3" t="s">
        <v>293</v>
      </c>
    </row>
    <row r="450" spans="1:4">
      <c r="A450" s="46">
        <v>501929</v>
      </c>
      <c r="B450" s="45" t="s">
        <v>871</v>
      </c>
      <c r="C450" s="44">
        <v>5019290201</v>
      </c>
      <c r="D450" s="3" t="s">
        <v>872</v>
      </c>
    </row>
    <row r="451" spans="1:4">
      <c r="A451" s="44">
        <v>501998</v>
      </c>
      <c r="B451" s="3" t="s">
        <v>873</v>
      </c>
      <c r="C451" s="44">
        <v>5019989601</v>
      </c>
      <c r="D451" s="3" t="s">
        <v>289</v>
      </c>
    </row>
    <row r="452" spans="1:4">
      <c r="A452" s="50">
        <v>504670</v>
      </c>
      <c r="B452" s="51" t="s">
        <v>874</v>
      </c>
      <c r="C452" s="46">
        <v>5046700101</v>
      </c>
      <c r="D452" s="45" t="s">
        <v>875</v>
      </c>
    </row>
    <row r="453" spans="1:4">
      <c r="A453" s="50"/>
      <c r="B453" s="51"/>
      <c r="C453" s="44">
        <v>5046700201</v>
      </c>
      <c r="D453" s="3" t="s">
        <v>288</v>
      </c>
    </row>
    <row r="454" spans="1:4">
      <c r="A454" s="50"/>
      <c r="B454" s="51"/>
      <c r="C454" s="44">
        <v>5046700501</v>
      </c>
      <c r="D454" s="4" t="s">
        <v>287</v>
      </c>
    </row>
    <row r="455" spans="1:4">
      <c r="A455" s="44"/>
      <c r="B455" s="3"/>
      <c r="C455" s="44">
        <v>5012153801</v>
      </c>
      <c r="D455" s="3" t="s">
        <v>299</v>
      </c>
    </row>
    <row r="456" spans="1:4">
      <c r="A456" s="48">
        <v>521215</v>
      </c>
      <c r="B456" s="49" t="s">
        <v>876</v>
      </c>
      <c r="C456" s="44">
        <v>5212150201</v>
      </c>
      <c r="D456" s="3" t="s">
        <v>877</v>
      </c>
    </row>
    <row r="457" spans="1:4">
      <c r="A457" s="50"/>
      <c r="B457" s="51"/>
      <c r="C457" s="44">
        <v>5212150301</v>
      </c>
      <c r="D457" s="3" t="s">
        <v>263</v>
      </c>
    </row>
    <row r="458" spans="1:4">
      <c r="A458" s="50"/>
      <c r="B458" s="51"/>
      <c r="C458" s="44">
        <v>5212150401</v>
      </c>
      <c r="D458" s="4" t="s">
        <v>247</v>
      </c>
    </row>
    <row r="459" spans="1:4">
      <c r="A459" s="50"/>
      <c r="B459" s="51"/>
      <c r="C459" s="44">
        <v>5212150501</v>
      </c>
      <c r="D459" s="4" t="s">
        <v>261</v>
      </c>
    </row>
    <row r="460" spans="1:4">
      <c r="A460" s="50"/>
      <c r="B460" s="51"/>
      <c r="C460" s="44">
        <v>5212150601</v>
      </c>
      <c r="D460" s="3" t="s">
        <v>260</v>
      </c>
    </row>
    <row r="461" spans="1:4">
      <c r="A461" s="50"/>
      <c r="B461" s="51"/>
      <c r="C461" s="44">
        <v>5212150801</v>
      </c>
      <c r="D461" s="3" t="s">
        <v>248</v>
      </c>
    </row>
    <row r="462" spans="1:4">
      <c r="A462" s="50"/>
      <c r="B462" s="51"/>
      <c r="C462" s="44">
        <v>5212150901</v>
      </c>
      <c r="D462" s="3" t="s">
        <v>262</v>
      </c>
    </row>
    <row r="463" spans="1:4">
      <c r="A463" s="46">
        <v>521217</v>
      </c>
      <c r="B463" s="45" t="s">
        <v>253</v>
      </c>
      <c r="C463" s="44">
        <v>5212170301</v>
      </c>
      <c r="D463" s="4" t="s">
        <v>253</v>
      </c>
    </row>
    <row r="464" spans="1:4">
      <c r="A464" s="44">
        <v>521315</v>
      </c>
      <c r="B464" s="3" t="s">
        <v>878</v>
      </c>
      <c r="C464" s="44">
        <v>5213150101</v>
      </c>
      <c r="D464" s="3" t="s">
        <v>282</v>
      </c>
    </row>
    <row r="465" spans="1:4">
      <c r="A465" s="48">
        <v>521316</v>
      </c>
      <c r="B465" s="49" t="s">
        <v>879</v>
      </c>
      <c r="C465" s="44">
        <v>5213160101</v>
      </c>
      <c r="D465" s="3" t="s">
        <v>281</v>
      </c>
    </row>
    <row r="466" spans="1:4">
      <c r="A466" s="50"/>
      <c r="B466" s="51"/>
      <c r="C466" s="44">
        <v>5213160201</v>
      </c>
      <c r="D466" s="3" t="s">
        <v>280</v>
      </c>
    </row>
    <row r="467" spans="1:4">
      <c r="A467" s="44"/>
      <c r="B467" s="4"/>
      <c r="C467" s="44">
        <v>5213160401</v>
      </c>
      <c r="D467" s="4" t="s">
        <v>880</v>
      </c>
    </row>
    <row r="468" spans="1:4" ht="19.2">
      <c r="A468" s="48">
        <v>521419</v>
      </c>
      <c r="B468" s="49" t="s">
        <v>881</v>
      </c>
      <c r="C468" s="44" t="s">
        <v>882</v>
      </c>
      <c r="D468" s="3" t="s">
        <v>883</v>
      </c>
    </row>
    <row r="469" spans="1:4">
      <c r="A469" s="46"/>
      <c r="B469" s="45"/>
      <c r="C469" s="44" t="s">
        <v>279</v>
      </c>
      <c r="D469" s="4" t="s">
        <v>884</v>
      </c>
    </row>
    <row r="470" spans="1:4">
      <c r="A470" s="48">
        <v>521516</v>
      </c>
      <c r="B470" s="49" t="s">
        <v>885</v>
      </c>
      <c r="C470" s="44">
        <v>5215165001</v>
      </c>
      <c r="D470" s="3" t="s">
        <v>36</v>
      </c>
    </row>
    <row r="471" spans="1:4">
      <c r="A471" s="46">
        <v>521520</v>
      </c>
      <c r="B471" s="45" t="s">
        <v>886</v>
      </c>
      <c r="C471" s="44">
        <v>5215201603</v>
      </c>
      <c r="D471" s="4" t="s">
        <v>455</v>
      </c>
    </row>
    <row r="472" spans="1:4">
      <c r="A472" s="48">
        <v>521522</v>
      </c>
      <c r="B472" s="49" t="s">
        <v>887</v>
      </c>
      <c r="C472" s="44">
        <v>5215220201</v>
      </c>
      <c r="D472" s="3" t="s">
        <v>180</v>
      </c>
    </row>
    <row r="473" spans="1:4">
      <c r="A473" s="50"/>
      <c r="B473" s="51"/>
      <c r="C473" s="44">
        <v>5215220401</v>
      </c>
      <c r="D473" s="4" t="s">
        <v>38</v>
      </c>
    </row>
    <row r="474" spans="1:4">
      <c r="A474" s="46">
        <v>531017</v>
      </c>
      <c r="B474" s="45" t="s">
        <v>888</v>
      </c>
      <c r="C474" s="44">
        <v>5310170201</v>
      </c>
      <c r="D474" s="3" t="s">
        <v>254</v>
      </c>
    </row>
    <row r="475" spans="1:4">
      <c r="A475" s="47">
        <v>531018</v>
      </c>
      <c r="B475" s="8" t="s">
        <v>889</v>
      </c>
      <c r="C475" s="44">
        <v>5310180201</v>
      </c>
      <c r="D475" s="3" t="s">
        <v>271</v>
      </c>
    </row>
    <row r="476" spans="1:4">
      <c r="A476" s="50"/>
      <c r="B476" s="51"/>
      <c r="C476" s="44">
        <v>5310180401</v>
      </c>
      <c r="D476" s="3" t="s">
        <v>272</v>
      </c>
    </row>
    <row r="477" spans="1:4">
      <c r="A477" s="50">
        <v>531023</v>
      </c>
      <c r="B477" s="51" t="s">
        <v>890</v>
      </c>
      <c r="C477" s="44">
        <v>5310230301</v>
      </c>
      <c r="D477" s="3" t="s">
        <v>245</v>
      </c>
    </row>
    <row r="478" spans="1:4">
      <c r="A478" s="47"/>
      <c r="B478" s="8"/>
      <c r="C478" s="44">
        <v>5310230302</v>
      </c>
      <c r="D478" s="3" t="s">
        <v>244</v>
      </c>
    </row>
    <row r="479" spans="1:4">
      <c r="A479" s="44"/>
      <c r="B479" s="3"/>
      <c r="C479" s="44">
        <v>5310239901</v>
      </c>
      <c r="D479" s="3" t="s">
        <v>243</v>
      </c>
    </row>
    <row r="480" spans="1:4">
      <c r="A480" s="44">
        <v>531024</v>
      </c>
      <c r="B480" s="3" t="s">
        <v>891</v>
      </c>
      <c r="C480" s="44">
        <v>5310240201</v>
      </c>
      <c r="D480" s="3" t="s">
        <v>255</v>
      </c>
    </row>
    <row r="481" spans="1:4">
      <c r="A481" s="48">
        <v>531025</v>
      </c>
      <c r="B481" s="49" t="s">
        <v>892</v>
      </c>
      <c r="C481" s="44">
        <v>5310250101</v>
      </c>
      <c r="D481" s="3" t="s">
        <v>250</v>
      </c>
    </row>
    <row r="482" spans="1:4">
      <c r="A482" s="50"/>
      <c r="B482" s="51"/>
      <c r="C482" s="44">
        <v>5310250102</v>
      </c>
      <c r="D482" s="3" t="s">
        <v>256</v>
      </c>
    </row>
    <row r="483" spans="1:4">
      <c r="A483" s="44"/>
      <c r="B483" s="3"/>
      <c r="C483" s="44">
        <v>5310250401</v>
      </c>
      <c r="D483" s="3" t="s">
        <v>273</v>
      </c>
    </row>
    <row r="484" spans="1:4">
      <c r="A484" s="47">
        <v>531027</v>
      </c>
      <c r="B484" s="8" t="s">
        <v>893</v>
      </c>
      <c r="C484" s="44">
        <v>5310270101</v>
      </c>
      <c r="D484" s="3" t="s">
        <v>894</v>
      </c>
    </row>
    <row r="485" spans="1:4">
      <c r="A485" s="47"/>
      <c r="B485" s="8"/>
      <c r="C485" s="44">
        <v>5310270102</v>
      </c>
      <c r="D485" s="3" t="s">
        <v>895</v>
      </c>
    </row>
    <row r="486" spans="1:4">
      <c r="A486" s="47"/>
      <c r="B486" s="8"/>
      <c r="C486" s="44">
        <v>5310270103</v>
      </c>
      <c r="D486" s="3" t="s">
        <v>896</v>
      </c>
    </row>
    <row r="487" spans="1:4">
      <c r="A487" s="50"/>
      <c r="B487" s="51"/>
      <c r="C487" s="44">
        <v>5310270104</v>
      </c>
      <c r="D487" s="3" t="s">
        <v>897</v>
      </c>
    </row>
    <row r="488" spans="1:4">
      <c r="A488" s="50"/>
      <c r="B488" s="51"/>
      <c r="C488" s="44">
        <v>5310270105</v>
      </c>
      <c r="D488" s="3" t="s">
        <v>898</v>
      </c>
    </row>
    <row r="489" spans="1:4">
      <c r="A489" s="50"/>
      <c r="B489" s="51"/>
      <c r="C489" s="44">
        <v>5310270108</v>
      </c>
      <c r="D489" s="3" t="s">
        <v>899</v>
      </c>
    </row>
    <row r="490" spans="1:4">
      <c r="A490" s="50"/>
      <c r="B490" s="51"/>
      <c r="C490" s="44">
        <v>5310270201</v>
      </c>
      <c r="D490" s="3" t="s">
        <v>274</v>
      </c>
    </row>
    <row r="491" spans="1:4">
      <c r="A491" s="50"/>
      <c r="B491" s="51"/>
      <c r="C491" s="44">
        <v>5310270202</v>
      </c>
      <c r="D491" s="3" t="s">
        <v>275</v>
      </c>
    </row>
    <row r="492" spans="1:4">
      <c r="A492" s="47"/>
      <c r="B492" s="8"/>
      <c r="C492" s="44">
        <v>5310271001</v>
      </c>
      <c r="D492" s="3" t="s">
        <v>264</v>
      </c>
    </row>
    <row r="493" spans="1:4">
      <c r="A493" s="50"/>
      <c r="B493" s="51"/>
      <c r="C493" s="44">
        <v>5310271002</v>
      </c>
      <c r="D493" s="3" t="s">
        <v>266</v>
      </c>
    </row>
    <row r="494" spans="1:4">
      <c r="A494" s="50"/>
      <c r="B494" s="51"/>
      <c r="C494" s="44">
        <v>5310271003</v>
      </c>
      <c r="D494" s="3" t="s">
        <v>265</v>
      </c>
    </row>
    <row r="495" spans="1:4">
      <c r="A495" s="50"/>
      <c r="B495" s="51"/>
      <c r="C495" s="44">
        <v>5310271004</v>
      </c>
      <c r="D495" s="3" t="s">
        <v>267</v>
      </c>
    </row>
    <row r="496" spans="1:4">
      <c r="A496" s="50"/>
      <c r="B496" s="51"/>
      <c r="C496" s="44">
        <v>5310279802</v>
      </c>
      <c r="D496" s="3" t="s">
        <v>241</v>
      </c>
    </row>
    <row r="497" spans="1:4">
      <c r="A497" s="46"/>
      <c r="B497" s="45"/>
      <c r="C497" s="44">
        <v>5310279901</v>
      </c>
      <c r="D497" s="3" t="s">
        <v>242</v>
      </c>
    </row>
    <row r="498" spans="1:4">
      <c r="A498" s="47">
        <v>531029</v>
      </c>
      <c r="B498" s="8" t="s">
        <v>900</v>
      </c>
      <c r="C498" s="44">
        <v>5310290101</v>
      </c>
      <c r="D498" s="3" t="s">
        <v>258</v>
      </c>
    </row>
    <row r="499" spans="1:4">
      <c r="A499" s="50"/>
      <c r="B499" s="51"/>
      <c r="C499" s="44">
        <v>5310290201</v>
      </c>
      <c r="D499" s="3" t="s">
        <v>257</v>
      </c>
    </row>
    <row r="500" spans="1:4">
      <c r="A500" s="50">
        <v>531215</v>
      </c>
      <c r="B500" s="51" t="s">
        <v>901</v>
      </c>
      <c r="C500" s="44">
        <v>5312150301</v>
      </c>
      <c r="D500" s="3" t="s">
        <v>236</v>
      </c>
    </row>
    <row r="501" spans="1:4">
      <c r="A501" s="50"/>
      <c r="B501" s="51"/>
      <c r="C501" s="44">
        <v>5312159901</v>
      </c>
      <c r="D501" s="4" t="s">
        <v>259</v>
      </c>
    </row>
    <row r="502" spans="1:4">
      <c r="A502" s="50">
        <v>531216</v>
      </c>
      <c r="B502" s="51" t="s">
        <v>902</v>
      </c>
      <c r="C502" s="44">
        <v>5312160101</v>
      </c>
      <c r="D502" s="3" t="s">
        <v>240</v>
      </c>
    </row>
    <row r="503" spans="1:4">
      <c r="A503" s="44"/>
      <c r="B503" s="3"/>
      <c r="C503" s="44">
        <v>5312160301</v>
      </c>
      <c r="D503" s="3" t="s">
        <v>249</v>
      </c>
    </row>
    <row r="504" spans="1:4">
      <c r="A504" s="47">
        <v>531217</v>
      </c>
      <c r="B504" s="8" t="s">
        <v>903</v>
      </c>
      <c r="C504" s="44">
        <v>5312170101</v>
      </c>
      <c r="D504" s="3" t="s">
        <v>237</v>
      </c>
    </row>
    <row r="505" spans="1:4">
      <c r="A505" s="50"/>
      <c r="B505" s="51"/>
      <c r="C505" s="44">
        <v>5312170401</v>
      </c>
      <c r="D505" s="3" t="s">
        <v>239</v>
      </c>
    </row>
    <row r="506" spans="1:4">
      <c r="A506" s="46"/>
      <c r="B506" s="45"/>
      <c r="C506" s="44">
        <v>5312170501</v>
      </c>
      <c r="D506" s="3" t="s">
        <v>238</v>
      </c>
    </row>
    <row r="507" spans="1:4">
      <c r="A507" s="44">
        <v>541115</v>
      </c>
      <c r="B507" s="3" t="s">
        <v>904</v>
      </c>
      <c r="C507" s="44">
        <v>5411150101</v>
      </c>
      <c r="D507" s="3" t="s">
        <v>421</v>
      </c>
    </row>
    <row r="508" spans="1:4">
      <c r="A508" s="48">
        <v>551015</v>
      </c>
      <c r="B508" s="49" t="s">
        <v>905</v>
      </c>
      <c r="C508" s="44">
        <v>5510150401</v>
      </c>
      <c r="D508" s="3" t="s">
        <v>308</v>
      </c>
    </row>
    <row r="509" spans="1:4">
      <c r="A509" s="50"/>
      <c r="B509" s="51"/>
      <c r="C509" s="44">
        <v>5510150901</v>
      </c>
      <c r="D509" s="3" t="s">
        <v>303</v>
      </c>
    </row>
    <row r="510" spans="1:4">
      <c r="A510" s="50"/>
      <c r="B510" s="51"/>
      <c r="C510" s="44">
        <v>5510151001</v>
      </c>
      <c r="D510" s="3" t="s">
        <v>310</v>
      </c>
    </row>
    <row r="511" spans="1:4">
      <c r="A511" s="50"/>
      <c r="B511" s="51"/>
      <c r="C511" s="44">
        <v>5510151501</v>
      </c>
      <c r="D511" s="3" t="s">
        <v>322</v>
      </c>
    </row>
    <row r="512" spans="1:4">
      <c r="A512" s="50"/>
      <c r="B512" s="51"/>
      <c r="C512" s="44">
        <v>5510151901</v>
      </c>
      <c r="D512" s="3" t="s">
        <v>314</v>
      </c>
    </row>
    <row r="513" spans="1:4">
      <c r="A513" s="50"/>
      <c r="B513" s="51"/>
      <c r="C513" s="44">
        <v>5510152001</v>
      </c>
      <c r="D513" s="3" t="s">
        <v>304</v>
      </c>
    </row>
    <row r="514" spans="1:4">
      <c r="A514" s="50"/>
      <c r="B514" s="51"/>
      <c r="C514" s="44">
        <v>5510152101</v>
      </c>
      <c r="D514" s="3" t="s">
        <v>313</v>
      </c>
    </row>
    <row r="515" spans="1:4">
      <c r="A515" s="47"/>
      <c r="B515" s="8"/>
      <c r="C515" s="44">
        <v>5510152901</v>
      </c>
      <c r="D515" s="3" t="s">
        <v>318</v>
      </c>
    </row>
    <row r="516" spans="1:4">
      <c r="A516" s="47"/>
      <c r="B516" s="8"/>
      <c r="C516" s="44">
        <v>5510153001</v>
      </c>
      <c r="D516" s="3" t="s">
        <v>307</v>
      </c>
    </row>
    <row r="517" spans="1:4">
      <c r="A517" s="44"/>
      <c r="B517" s="3"/>
      <c r="C517" s="44">
        <v>5510159901</v>
      </c>
      <c r="D517" s="3" t="s">
        <v>305</v>
      </c>
    </row>
    <row r="518" spans="1:4">
      <c r="A518" s="48">
        <v>551216</v>
      </c>
      <c r="B518" s="49" t="s">
        <v>906</v>
      </c>
      <c r="C518" s="44">
        <v>5512161201</v>
      </c>
      <c r="D518" s="3" t="s">
        <v>321</v>
      </c>
    </row>
    <row r="519" spans="1:4">
      <c r="A519" s="50"/>
      <c r="B519" s="51"/>
      <c r="C519" s="44">
        <v>5512161203</v>
      </c>
      <c r="D519" s="4" t="s">
        <v>907</v>
      </c>
    </row>
    <row r="520" spans="1:4">
      <c r="A520" s="44"/>
      <c r="B520" s="3"/>
      <c r="C520" s="44">
        <v>5512161204</v>
      </c>
      <c r="D520" s="3" t="s">
        <v>908</v>
      </c>
    </row>
    <row r="521" spans="1:4">
      <c r="A521" s="52">
        <v>551217</v>
      </c>
      <c r="B521" s="49" t="s">
        <v>909</v>
      </c>
      <c r="C521" s="44">
        <v>5512170401</v>
      </c>
      <c r="D521" s="3" t="s">
        <v>910</v>
      </c>
    </row>
    <row r="522" spans="1:4">
      <c r="A522" s="53"/>
      <c r="B522" s="51"/>
      <c r="C522" s="44">
        <v>5512170601</v>
      </c>
      <c r="D522" s="3" t="s">
        <v>329</v>
      </c>
    </row>
    <row r="523" spans="1:4">
      <c r="A523" s="53"/>
      <c r="B523" s="51"/>
      <c r="C523" s="44">
        <v>5512171001</v>
      </c>
      <c r="D523" s="3" t="s">
        <v>349</v>
      </c>
    </row>
    <row r="524" spans="1:4">
      <c r="A524" s="53"/>
      <c r="B524" s="51"/>
      <c r="C524" s="44">
        <v>5512171002</v>
      </c>
      <c r="D524" s="3" t="s">
        <v>350</v>
      </c>
    </row>
    <row r="525" spans="1:4">
      <c r="A525" s="47"/>
      <c r="B525" s="57"/>
      <c r="C525" s="44">
        <v>5512171701</v>
      </c>
      <c r="D525" s="4" t="s">
        <v>325</v>
      </c>
    </row>
    <row r="526" spans="1:4">
      <c r="A526" s="47"/>
      <c r="B526" s="8"/>
      <c r="C526" s="44">
        <v>5512171702</v>
      </c>
      <c r="D526" s="3" t="s">
        <v>326</v>
      </c>
    </row>
    <row r="527" spans="1:4">
      <c r="A527" s="47"/>
      <c r="B527" s="8"/>
      <c r="C527" s="44">
        <v>5512171703</v>
      </c>
      <c r="D527" s="3" t="s">
        <v>327</v>
      </c>
    </row>
    <row r="528" spans="1:4">
      <c r="A528" s="44"/>
      <c r="B528" s="3"/>
      <c r="C528" s="44">
        <v>5512171801</v>
      </c>
      <c r="D528" s="3" t="s">
        <v>911</v>
      </c>
    </row>
    <row r="529" spans="1:4">
      <c r="A529" s="47">
        <v>551219</v>
      </c>
      <c r="B529" s="8" t="s">
        <v>912</v>
      </c>
      <c r="C529" s="44">
        <v>5512190301</v>
      </c>
      <c r="D529" s="3" t="s">
        <v>426</v>
      </c>
    </row>
    <row r="530" spans="1:4">
      <c r="A530" s="47"/>
      <c r="B530" s="8"/>
      <c r="C530" s="44">
        <v>5512190302</v>
      </c>
      <c r="D530" s="3" t="s">
        <v>425</v>
      </c>
    </row>
    <row r="531" spans="1:4">
      <c r="A531" s="47"/>
      <c r="B531" s="8"/>
      <c r="C531" s="44">
        <v>5512190303</v>
      </c>
      <c r="D531" s="3" t="s">
        <v>424</v>
      </c>
    </row>
    <row r="532" spans="1:4">
      <c r="A532" s="47"/>
      <c r="B532" s="8"/>
      <c r="C532" s="44">
        <v>5512190401</v>
      </c>
      <c r="D532" s="3" t="s">
        <v>301</v>
      </c>
    </row>
    <row r="533" spans="1:4">
      <c r="A533" s="47"/>
      <c r="B533" s="8"/>
      <c r="C533" s="44">
        <v>5512190801</v>
      </c>
      <c r="D533" s="3" t="s">
        <v>323</v>
      </c>
    </row>
    <row r="534" spans="1:4">
      <c r="A534" s="44"/>
      <c r="B534" s="3"/>
      <c r="C534" s="44">
        <v>5512190802</v>
      </c>
      <c r="D534" s="3" t="s">
        <v>324</v>
      </c>
    </row>
    <row r="535" spans="1:4">
      <c r="A535" s="47">
        <v>561015</v>
      </c>
      <c r="B535" s="8" t="s">
        <v>913</v>
      </c>
      <c r="C535" s="44">
        <v>5610150201</v>
      </c>
      <c r="D535" s="3" t="s">
        <v>7</v>
      </c>
    </row>
    <row r="536" spans="1:4">
      <c r="A536" s="47"/>
      <c r="B536" s="8"/>
      <c r="C536" s="44">
        <v>5610150701</v>
      </c>
      <c r="D536" s="3" t="s">
        <v>25</v>
      </c>
    </row>
    <row r="537" spans="1:4">
      <c r="A537" s="47"/>
      <c r="B537" s="8"/>
      <c r="C537" s="44">
        <v>5610150801</v>
      </c>
      <c r="D537" s="3" t="s">
        <v>246</v>
      </c>
    </row>
    <row r="538" spans="1:4">
      <c r="A538" s="50"/>
      <c r="B538" s="51"/>
      <c r="C538" s="44">
        <v>5610151501</v>
      </c>
      <c r="D538" s="3" t="s">
        <v>27</v>
      </c>
    </row>
    <row r="539" spans="1:4">
      <c r="A539" s="50"/>
      <c r="B539" s="51"/>
      <c r="C539" s="44">
        <v>5610151601</v>
      </c>
      <c r="D539" s="3" t="s">
        <v>20</v>
      </c>
    </row>
    <row r="540" spans="1:4">
      <c r="A540" s="47"/>
      <c r="B540" s="8"/>
      <c r="C540" s="44">
        <v>5610151901</v>
      </c>
      <c r="D540" s="3" t="s">
        <v>32</v>
      </c>
    </row>
    <row r="541" spans="1:4">
      <c r="A541" s="47"/>
      <c r="B541" s="8"/>
      <c r="C541" s="44">
        <v>5610152001</v>
      </c>
      <c r="D541" s="3" t="s">
        <v>4</v>
      </c>
    </row>
    <row r="542" spans="1:4">
      <c r="A542" s="47"/>
      <c r="B542" s="8"/>
      <c r="C542" s="44">
        <v>5610152003</v>
      </c>
      <c r="D542" s="3" t="s">
        <v>3</v>
      </c>
    </row>
    <row r="543" spans="1:4">
      <c r="A543" s="47"/>
      <c r="B543" s="8"/>
      <c r="C543" s="44">
        <v>5610153001</v>
      </c>
      <c r="D543" s="3" t="s">
        <v>30</v>
      </c>
    </row>
    <row r="544" spans="1:4">
      <c r="A544" s="47"/>
      <c r="B544" s="8"/>
      <c r="C544" s="44">
        <v>5610153101</v>
      </c>
      <c r="D544" s="3" t="s">
        <v>11</v>
      </c>
    </row>
    <row r="545" spans="1:4">
      <c r="A545" s="47"/>
      <c r="B545" s="8"/>
      <c r="C545" s="44">
        <v>5610153801</v>
      </c>
      <c r="D545" s="3" t="s">
        <v>40</v>
      </c>
    </row>
    <row r="546" spans="1:4">
      <c r="A546" s="47"/>
      <c r="B546" s="8"/>
      <c r="C546" s="44">
        <v>5610154201</v>
      </c>
      <c r="D546" s="3" t="s">
        <v>914</v>
      </c>
    </row>
    <row r="547" spans="1:4">
      <c r="A547" s="47"/>
      <c r="B547" s="8"/>
      <c r="C547" s="44">
        <v>5610154301</v>
      </c>
      <c r="D547" s="3" t="s">
        <v>10</v>
      </c>
    </row>
    <row r="548" spans="1:4">
      <c r="A548" s="44"/>
      <c r="B548" s="3"/>
      <c r="C548" s="44">
        <v>5610159201</v>
      </c>
      <c r="D548" s="3" t="s">
        <v>26</v>
      </c>
    </row>
    <row r="549" spans="1:4">
      <c r="A549" s="44">
        <v>561016</v>
      </c>
      <c r="B549" s="3" t="s">
        <v>915</v>
      </c>
      <c r="C549" s="44">
        <v>5610160501</v>
      </c>
      <c r="D549" s="3" t="s">
        <v>88</v>
      </c>
    </row>
    <row r="550" spans="1:4">
      <c r="A550" s="47">
        <v>561017</v>
      </c>
      <c r="B550" s="8" t="s">
        <v>916</v>
      </c>
      <c r="C550" s="44">
        <v>5610170301</v>
      </c>
      <c r="D550" s="3" t="s">
        <v>23</v>
      </c>
    </row>
    <row r="551" spans="1:4">
      <c r="A551" s="47"/>
      <c r="B551" s="8"/>
      <c r="C551" s="44">
        <v>5610170601</v>
      </c>
      <c r="D551" s="3" t="s">
        <v>34</v>
      </c>
    </row>
    <row r="552" spans="1:4">
      <c r="A552" s="47"/>
      <c r="B552" s="8"/>
      <c r="C552" s="44">
        <v>5610170801</v>
      </c>
      <c r="D552" s="3" t="s">
        <v>18</v>
      </c>
    </row>
    <row r="553" spans="1:4">
      <c r="A553" s="44"/>
      <c r="B553" s="3"/>
      <c r="C553" s="44">
        <v>5610179301</v>
      </c>
      <c r="D553" s="3" t="s">
        <v>5</v>
      </c>
    </row>
    <row r="554" spans="1:4">
      <c r="A554" s="44">
        <v>561116</v>
      </c>
      <c r="B554" s="3" t="s">
        <v>917</v>
      </c>
      <c r="C554" s="44">
        <v>5611160101</v>
      </c>
      <c r="D554" s="3" t="s">
        <v>918</v>
      </c>
    </row>
    <row r="555" spans="1:4">
      <c r="A555" s="44"/>
      <c r="B555" s="3"/>
      <c r="C555" s="44"/>
      <c r="D555" s="3" t="s">
        <v>919</v>
      </c>
    </row>
    <row r="556" spans="1:4">
      <c r="A556" s="44">
        <v>561119</v>
      </c>
      <c r="B556" s="3" t="s">
        <v>920</v>
      </c>
      <c r="C556" s="44">
        <v>5611190201</v>
      </c>
      <c r="D556" s="3" t="s">
        <v>6</v>
      </c>
    </row>
    <row r="557" spans="1:4">
      <c r="A557" s="47">
        <v>561121</v>
      </c>
      <c r="B557" s="8" t="s">
        <v>921</v>
      </c>
      <c r="C557" s="44">
        <v>5611210201</v>
      </c>
      <c r="D557" s="3" t="s">
        <v>19</v>
      </c>
    </row>
    <row r="558" spans="1:4">
      <c r="A558" s="47"/>
      <c r="B558" s="8"/>
      <c r="C558" s="44">
        <v>5611210501</v>
      </c>
      <c r="D558" s="3" t="s">
        <v>2</v>
      </c>
    </row>
    <row r="559" spans="1:4">
      <c r="A559" s="44"/>
      <c r="B559" s="3"/>
      <c r="C559" s="44">
        <v>5611210801</v>
      </c>
      <c r="D559" s="3" t="s">
        <v>24</v>
      </c>
    </row>
    <row r="560" spans="1:4">
      <c r="A560" s="47">
        <v>561210</v>
      </c>
      <c r="B560" s="8" t="s">
        <v>922</v>
      </c>
      <c r="C560" s="44">
        <v>5612100201</v>
      </c>
      <c r="D560" s="3" t="s">
        <v>28</v>
      </c>
    </row>
    <row r="561" spans="1:4">
      <c r="A561" s="44"/>
      <c r="B561" s="3"/>
      <c r="C561" s="44">
        <v>5612109901</v>
      </c>
      <c r="D561" s="3" t="s">
        <v>16</v>
      </c>
    </row>
    <row r="562" spans="1:4">
      <c r="A562" s="44">
        <v>561214</v>
      </c>
      <c r="B562" s="3" t="s">
        <v>923</v>
      </c>
      <c r="C562" s="44">
        <v>5612140201</v>
      </c>
      <c r="D562" s="3" t="s">
        <v>17</v>
      </c>
    </row>
    <row r="563" spans="1:4">
      <c r="A563" s="48">
        <v>561215</v>
      </c>
      <c r="B563" s="49" t="s">
        <v>924</v>
      </c>
      <c r="C563" s="44">
        <v>5612150201</v>
      </c>
      <c r="D563" s="3" t="s">
        <v>1</v>
      </c>
    </row>
    <row r="564" spans="1:4">
      <c r="A564" s="50"/>
      <c r="B564" s="51"/>
      <c r="C564" s="44">
        <v>5612150501</v>
      </c>
      <c r="D564" s="3" t="s">
        <v>8</v>
      </c>
    </row>
    <row r="565" spans="1:4">
      <c r="A565" s="47"/>
      <c r="B565" s="8"/>
      <c r="C565" s="44">
        <v>5612150601</v>
      </c>
      <c r="D565" s="3" t="s">
        <v>33</v>
      </c>
    </row>
    <row r="566" spans="1:4">
      <c r="A566" s="47"/>
      <c r="B566" s="8"/>
      <c r="C566" s="44">
        <v>5612150701</v>
      </c>
      <c r="D566" s="3" t="s">
        <v>29</v>
      </c>
    </row>
    <row r="567" spans="1:4">
      <c r="A567" s="44"/>
      <c r="B567" s="3"/>
      <c r="C567" s="44">
        <v>5612150801</v>
      </c>
      <c r="D567" s="3" t="s">
        <v>31</v>
      </c>
    </row>
    <row r="568" spans="1:4">
      <c r="A568" s="44">
        <v>561218</v>
      </c>
      <c r="B568" s="3" t="s">
        <v>925</v>
      </c>
      <c r="C568" s="44">
        <v>5612180401</v>
      </c>
      <c r="D568" s="3" t="s">
        <v>0</v>
      </c>
    </row>
    <row r="569" spans="1:4">
      <c r="A569" s="47">
        <v>561219</v>
      </c>
      <c r="B569" s="8" t="s">
        <v>926</v>
      </c>
      <c r="C569" s="44">
        <v>5612190201</v>
      </c>
      <c r="D569" s="3" t="s">
        <v>21</v>
      </c>
    </row>
    <row r="570" spans="1:4">
      <c r="A570" s="44"/>
      <c r="B570" s="3"/>
      <c r="C570" s="44">
        <v>5612190301</v>
      </c>
      <c r="D570" s="3" t="s">
        <v>9</v>
      </c>
    </row>
    <row r="571" spans="1:4">
      <c r="A571" s="47">
        <v>561220</v>
      </c>
      <c r="B571" s="8" t="s">
        <v>927</v>
      </c>
      <c r="C571" s="44">
        <v>5612200101</v>
      </c>
      <c r="D571" s="3" t="s">
        <v>12</v>
      </c>
    </row>
    <row r="572" spans="1:4">
      <c r="A572" s="47"/>
      <c r="B572" s="8"/>
      <c r="C572" s="44">
        <v>5612200201</v>
      </c>
      <c r="D572" s="3" t="s">
        <v>14</v>
      </c>
    </row>
    <row r="573" spans="1:4">
      <c r="A573" s="47"/>
      <c r="B573" s="8"/>
      <c r="C573" s="44">
        <v>5612200205</v>
      </c>
      <c r="D573" s="3" t="s">
        <v>13</v>
      </c>
    </row>
    <row r="574" spans="1:4">
      <c r="A574" s="44"/>
      <c r="B574" s="3"/>
      <c r="C574" s="44">
        <v>5612200401</v>
      </c>
      <c r="D574" s="3" t="s">
        <v>15</v>
      </c>
    </row>
    <row r="575" spans="1:4">
      <c r="A575" s="47">
        <v>601047</v>
      </c>
      <c r="B575" s="8" t="s">
        <v>928</v>
      </c>
      <c r="C575" s="44">
        <v>6010478701</v>
      </c>
      <c r="D575" s="3" t="s">
        <v>400</v>
      </c>
    </row>
    <row r="576" spans="1:4">
      <c r="A576" s="47"/>
      <c r="B576" s="8"/>
      <c r="C576" s="44">
        <v>6010479601</v>
      </c>
      <c r="D576" s="3" t="s">
        <v>387</v>
      </c>
    </row>
    <row r="577" spans="1:4">
      <c r="A577" s="44"/>
      <c r="B577" s="3"/>
      <c r="C577" s="44">
        <v>6010479801</v>
      </c>
      <c r="D577" s="3" t="s">
        <v>394</v>
      </c>
    </row>
    <row r="578" spans="1:4">
      <c r="A578" s="47">
        <v>601061</v>
      </c>
      <c r="B578" s="8" t="s">
        <v>929</v>
      </c>
      <c r="C578" s="44">
        <v>6010610101</v>
      </c>
      <c r="D578" s="3" t="s">
        <v>402</v>
      </c>
    </row>
    <row r="579" spans="1:4" ht="16.5" customHeight="1">
      <c r="A579" s="50"/>
      <c r="B579" s="51"/>
      <c r="C579" s="44">
        <v>6010610401</v>
      </c>
      <c r="D579" s="3" t="s">
        <v>403</v>
      </c>
    </row>
    <row r="580" spans="1:4">
      <c r="A580" s="50">
        <v>601062</v>
      </c>
      <c r="B580" s="51" t="s">
        <v>930</v>
      </c>
      <c r="C580" s="44">
        <v>6010629901</v>
      </c>
      <c r="D580" s="3" t="s">
        <v>385</v>
      </c>
    </row>
    <row r="581" spans="1:4">
      <c r="A581" s="50">
        <v>601064</v>
      </c>
      <c r="B581" s="51" t="s">
        <v>931</v>
      </c>
      <c r="C581" s="44">
        <v>6010640201</v>
      </c>
      <c r="D581" s="3" t="s">
        <v>404</v>
      </c>
    </row>
    <row r="582" spans="1:4">
      <c r="A582" s="47"/>
      <c r="B582" s="8"/>
      <c r="C582" s="44">
        <v>6010640202</v>
      </c>
      <c r="D582" s="3" t="s">
        <v>405</v>
      </c>
    </row>
    <row r="583" spans="1:4">
      <c r="A583" s="50"/>
      <c r="B583" s="51"/>
      <c r="C583" s="44">
        <v>6010649801</v>
      </c>
      <c r="D583" s="3" t="s">
        <v>410</v>
      </c>
    </row>
    <row r="584" spans="1:4">
      <c r="A584" s="50">
        <v>601093</v>
      </c>
      <c r="B584" s="51" t="s">
        <v>932</v>
      </c>
      <c r="C584" s="44">
        <v>6010939901</v>
      </c>
      <c r="D584" s="3" t="s">
        <v>389</v>
      </c>
    </row>
    <row r="585" spans="1:4">
      <c r="A585" s="44"/>
      <c r="B585" s="3"/>
      <c r="C585" s="44">
        <v>6010939902</v>
      </c>
      <c r="D585" s="3" t="s">
        <v>390</v>
      </c>
    </row>
    <row r="586" spans="1:4">
      <c r="A586" s="10">
        <v>601098</v>
      </c>
      <c r="B586" s="6" t="s">
        <v>933</v>
      </c>
      <c r="C586" s="5">
        <v>6010989901</v>
      </c>
      <c r="D586" s="9" t="s">
        <v>302</v>
      </c>
    </row>
    <row r="587" spans="1:4" ht="16.5" customHeight="1">
      <c r="A587" s="48">
        <v>601099</v>
      </c>
      <c r="B587" s="49" t="s">
        <v>934</v>
      </c>
      <c r="C587" s="44">
        <v>6010999901</v>
      </c>
      <c r="D587" s="3" t="s">
        <v>386</v>
      </c>
    </row>
    <row r="588" spans="1:4">
      <c r="A588" s="50">
        <v>601210</v>
      </c>
      <c r="B588" s="51" t="s">
        <v>935</v>
      </c>
      <c r="C588" s="44">
        <v>6012100201</v>
      </c>
      <c r="D588" s="3" t="s">
        <v>328</v>
      </c>
    </row>
    <row r="589" spans="1:4">
      <c r="A589" s="50"/>
      <c r="B589" s="51"/>
      <c r="C589" s="44">
        <v>6012100801</v>
      </c>
      <c r="D589" s="3" t="s">
        <v>320</v>
      </c>
    </row>
    <row r="590" spans="1:4">
      <c r="A590" s="50">
        <v>721540</v>
      </c>
      <c r="B590" s="51" t="s">
        <v>936</v>
      </c>
      <c r="C590" s="44">
        <v>7215401001</v>
      </c>
      <c r="D590" s="3" t="s">
        <v>609</v>
      </c>
    </row>
    <row r="591" spans="1:4">
      <c r="A591" s="47"/>
      <c r="B591" s="8"/>
      <c r="C591" s="44">
        <v>7215409901</v>
      </c>
      <c r="D591" s="3" t="s">
        <v>623</v>
      </c>
    </row>
    <row r="592" spans="1:4">
      <c r="A592" s="44"/>
      <c r="B592" s="3"/>
      <c r="C592" s="44">
        <v>7215409902</v>
      </c>
      <c r="D592" s="3" t="s">
        <v>624</v>
      </c>
    </row>
    <row r="593" spans="1:4">
      <c r="A593" s="44">
        <v>761115</v>
      </c>
      <c r="B593" s="3" t="s">
        <v>937</v>
      </c>
      <c r="C593" s="44">
        <v>7611150101</v>
      </c>
      <c r="D593" s="3" t="s">
        <v>555</v>
      </c>
    </row>
    <row r="594" spans="1:4">
      <c r="A594" s="44">
        <v>801416</v>
      </c>
      <c r="B594" s="3" t="s">
        <v>938</v>
      </c>
      <c r="C594" s="44">
        <v>8014162201</v>
      </c>
      <c r="D594" s="3" t="s">
        <v>612</v>
      </c>
    </row>
    <row r="595" spans="1:4">
      <c r="A595" s="48">
        <v>801419</v>
      </c>
      <c r="B595" s="49" t="s">
        <v>939</v>
      </c>
      <c r="C595" s="44">
        <v>8014199001</v>
      </c>
      <c r="D595" s="3" t="s">
        <v>628</v>
      </c>
    </row>
    <row r="596" spans="1:4">
      <c r="A596" s="50">
        <v>811015</v>
      </c>
      <c r="B596" s="51" t="s">
        <v>940</v>
      </c>
      <c r="C596" s="44">
        <v>8110159601</v>
      </c>
      <c r="D596" s="3" t="s">
        <v>941</v>
      </c>
    </row>
    <row r="597" spans="1:4">
      <c r="A597" s="50">
        <v>811115</v>
      </c>
      <c r="B597" s="51" t="s">
        <v>942</v>
      </c>
      <c r="C597" s="44">
        <v>8111159801</v>
      </c>
      <c r="D597" s="3" t="s">
        <v>616</v>
      </c>
    </row>
    <row r="598" spans="1:4">
      <c r="A598" s="44"/>
      <c r="B598" s="3"/>
      <c r="C598" s="44">
        <v>8111159901</v>
      </c>
      <c r="D598" s="3" t="s">
        <v>614</v>
      </c>
    </row>
    <row r="599" spans="1:4">
      <c r="A599" s="44">
        <v>811117</v>
      </c>
      <c r="B599" s="3" t="s">
        <v>943</v>
      </c>
      <c r="C599" s="44">
        <v>8111179901</v>
      </c>
      <c r="D599" s="3" t="s">
        <v>621</v>
      </c>
    </row>
    <row r="600" spans="1:4">
      <c r="A600" s="48">
        <v>811118</v>
      </c>
      <c r="B600" s="49" t="s">
        <v>944</v>
      </c>
      <c r="C600" s="44">
        <v>8111181101</v>
      </c>
      <c r="D600" s="3" t="s">
        <v>619</v>
      </c>
    </row>
    <row r="601" spans="1:4">
      <c r="A601" s="50"/>
      <c r="B601" s="51"/>
      <c r="C601" s="44">
        <v>8111189901</v>
      </c>
      <c r="D601" s="3" t="s">
        <v>618</v>
      </c>
    </row>
    <row r="602" spans="1:4">
      <c r="A602" s="50">
        <v>811120</v>
      </c>
      <c r="B602" s="51" t="s">
        <v>610</v>
      </c>
      <c r="C602" s="44">
        <v>8111200201</v>
      </c>
      <c r="D602" s="3" t="s">
        <v>611</v>
      </c>
    </row>
    <row r="603" spans="1:4">
      <c r="A603" s="50"/>
      <c r="B603" s="51"/>
      <c r="C603" s="44">
        <v>8111200202</v>
      </c>
      <c r="D603" s="3" t="s">
        <v>615</v>
      </c>
    </row>
    <row r="604" spans="1:4">
      <c r="A604" s="46">
        <v>811121</v>
      </c>
      <c r="B604" s="45" t="s">
        <v>945</v>
      </c>
      <c r="C604" s="44">
        <v>8111219901</v>
      </c>
      <c r="D604" s="3" t="s">
        <v>620</v>
      </c>
    </row>
    <row r="605" spans="1:4">
      <c r="A605" s="46">
        <v>811122</v>
      </c>
      <c r="B605" s="45" t="s">
        <v>946</v>
      </c>
      <c r="C605" s="46">
        <v>8111229901</v>
      </c>
      <c r="D605" s="45" t="s">
        <v>617</v>
      </c>
    </row>
    <row r="606" spans="1:4">
      <c r="A606" s="47">
        <v>811516</v>
      </c>
      <c r="B606" s="8" t="s">
        <v>947</v>
      </c>
      <c r="C606" s="44">
        <v>8115160401</v>
      </c>
      <c r="D606" s="3" t="s">
        <v>626</v>
      </c>
    </row>
    <row r="607" spans="1:4">
      <c r="A607" s="44"/>
      <c r="B607" s="3"/>
      <c r="C607" s="44">
        <v>8115169901</v>
      </c>
      <c r="D607" s="3" t="s">
        <v>948</v>
      </c>
    </row>
    <row r="608" spans="1:4">
      <c r="A608" s="44">
        <v>811517</v>
      </c>
      <c r="B608" s="3" t="s">
        <v>949</v>
      </c>
      <c r="C608" s="44">
        <v>8115179901</v>
      </c>
      <c r="D608" s="3" t="s">
        <v>625</v>
      </c>
    </row>
    <row r="609" spans="1:4">
      <c r="A609" s="44">
        <v>821316</v>
      </c>
      <c r="B609" s="3" t="s">
        <v>950</v>
      </c>
      <c r="C609" s="44">
        <v>8213160301</v>
      </c>
      <c r="D609" s="3" t="s">
        <v>627</v>
      </c>
    </row>
    <row r="610" spans="1:4">
      <c r="A610" s="47">
        <v>901518</v>
      </c>
      <c r="B610" s="8" t="s">
        <v>951</v>
      </c>
      <c r="C610" s="44">
        <v>9015180201</v>
      </c>
      <c r="D610" s="3" t="s">
        <v>629</v>
      </c>
    </row>
    <row r="611" spans="1:4">
      <c r="A611" s="50"/>
      <c r="B611" s="51"/>
      <c r="C611" s="44">
        <v>9015189001</v>
      </c>
      <c r="D611" s="3" t="s">
        <v>952</v>
      </c>
    </row>
    <row r="612" spans="1:4">
      <c r="A612" s="46">
        <v>921215</v>
      </c>
      <c r="B612" s="45" t="s">
        <v>953</v>
      </c>
      <c r="C612" s="44">
        <v>9212159901</v>
      </c>
      <c r="D612" s="3" t="s">
        <v>556</v>
      </c>
    </row>
    <row r="613" spans="1:4">
      <c r="A613" s="44">
        <v>30131503</v>
      </c>
      <c r="B613" s="3" t="s">
        <v>438</v>
      </c>
      <c r="C613" s="44">
        <v>3013150301</v>
      </c>
      <c r="D613" s="3" t="s">
        <v>439</v>
      </c>
    </row>
    <row r="614" spans="1:4">
      <c r="A614" s="44">
        <v>30131702</v>
      </c>
      <c r="B614" s="3" t="s">
        <v>440</v>
      </c>
      <c r="C614" s="44">
        <v>3013170201</v>
      </c>
      <c r="D614" s="3" t="s">
        <v>441</v>
      </c>
    </row>
    <row r="615" spans="1:4">
      <c r="A615" s="44">
        <v>11111698</v>
      </c>
      <c r="B615" s="3" t="s">
        <v>442</v>
      </c>
      <c r="C615" s="44">
        <v>1111169801</v>
      </c>
      <c r="D615" s="3" t="s">
        <v>442</v>
      </c>
    </row>
    <row r="616" spans="1:4">
      <c r="A616" s="44">
        <v>11111604</v>
      </c>
      <c r="B616" s="3" t="s">
        <v>443</v>
      </c>
      <c r="C616" s="44">
        <v>1111160401</v>
      </c>
      <c r="D616" s="3" t="s">
        <v>444</v>
      </c>
    </row>
    <row r="617" spans="1:4">
      <c r="A617" s="44">
        <v>11111697</v>
      </c>
      <c r="B617" s="3" t="s">
        <v>445</v>
      </c>
      <c r="C617" s="44">
        <v>1111169701</v>
      </c>
      <c r="D617" s="3" t="s">
        <v>445</v>
      </c>
    </row>
    <row r="618" spans="1:4">
      <c r="A618" s="44">
        <v>11111608</v>
      </c>
      <c r="B618" s="3" t="s">
        <v>446</v>
      </c>
      <c r="C618" s="44">
        <v>1111160801</v>
      </c>
      <c r="D618" s="3" t="s">
        <v>446</v>
      </c>
    </row>
    <row r="619" spans="1:4">
      <c r="A619" s="44">
        <v>10171694</v>
      </c>
      <c r="B619" s="3" t="s">
        <v>447</v>
      </c>
      <c r="C619" s="44">
        <v>1017169401</v>
      </c>
      <c r="D619" s="3" t="s">
        <v>447</v>
      </c>
    </row>
    <row r="620" spans="1:4">
      <c r="A620" s="44">
        <v>10171611</v>
      </c>
      <c r="B620" s="3" t="s">
        <v>448</v>
      </c>
      <c r="C620" s="44">
        <v>1017161101</v>
      </c>
      <c r="D620" s="3" t="s">
        <v>448</v>
      </c>
    </row>
    <row r="621" spans="1:4">
      <c r="A621" s="97">
        <v>30151590</v>
      </c>
      <c r="B621" s="100" t="s">
        <v>449</v>
      </c>
      <c r="C621" s="44">
        <v>3015159001</v>
      </c>
      <c r="D621" s="3" t="s">
        <v>450</v>
      </c>
    </row>
    <row r="622" spans="1:4">
      <c r="A622" s="98"/>
      <c r="B622" s="101"/>
      <c r="C622" s="44">
        <v>3015159003</v>
      </c>
      <c r="D622" s="3" t="s">
        <v>451</v>
      </c>
    </row>
    <row r="623" spans="1:4">
      <c r="A623" s="99"/>
      <c r="B623" s="102"/>
      <c r="C623" s="44">
        <v>3015159002</v>
      </c>
      <c r="D623" s="3" t="s">
        <v>452</v>
      </c>
    </row>
    <row r="624" spans="1:4">
      <c r="A624" s="97">
        <v>52152016</v>
      </c>
      <c r="B624" s="100" t="s">
        <v>453</v>
      </c>
      <c r="C624" s="44">
        <v>5215201601</v>
      </c>
      <c r="D624" s="3" t="s">
        <v>454</v>
      </c>
    </row>
    <row r="625" spans="1:4">
      <c r="A625" s="99"/>
      <c r="B625" s="102"/>
      <c r="C625" s="44">
        <v>5215201603</v>
      </c>
      <c r="D625" s="3" t="s">
        <v>455</v>
      </c>
    </row>
    <row r="626" spans="1:4">
      <c r="A626" s="97">
        <v>30111597</v>
      </c>
      <c r="B626" s="100" t="s">
        <v>456</v>
      </c>
      <c r="C626" s="44">
        <v>3011159701</v>
      </c>
      <c r="D626" s="3" t="s">
        <v>456</v>
      </c>
    </row>
    <row r="627" spans="1:4">
      <c r="A627" s="99"/>
      <c r="B627" s="102"/>
      <c r="C627" s="44">
        <v>3011159702</v>
      </c>
      <c r="D627" s="3" t="s">
        <v>457</v>
      </c>
    </row>
    <row r="628" spans="1:4">
      <c r="A628" s="97">
        <v>30131602</v>
      </c>
      <c r="B628" s="100" t="s">
        <v>458</v>
      </c>
      <c r="C628" s="44">
        <v>3013160202</v>
      </c>
      <c r="D628" s="3" t="s">
        <v>459</v>
      </c>
    </row>
    <row r="629" spans="1:4">
      <c r="A629" s="99"/>
      <c r="B629" s="102"/>
      <c r="C629" s="44">
        <v>3013160201</v>
      </c>
      <c r="D629" s="3" t="s">
        <v>460</v>
      </c>
    </row>
    <row r="630" spans="1:4">
      <c r="A630" s="44">
        <v>30131514</v>
      </c>
      <c r="B630" s="3" t="s">
        <v>461</v>
      </c>
      <c r="C630" s="44">
        <v>3013151401</v>
      </c>
      <c r="D630" s="3" t="s">
        <v>461</v>
      </c>
    </row>
    <row r="631" spans="1:4">
      <c r="A631" s="44">
        <v>30131598</v>
      </c>
      <c r="B631" s="3" t="s">
        <v>462</v>
      </c>
      <c r="C631" s="44">
        <v>3013159801</v>
      </c>
      <c r="D631" s="3" t="s">
        <v>462</v>
      </c>
    </row>
    <row r="632" spans="1:4">
      <c r="A632" s="44">
        <v>30109904</v>
      </c>
      <c r="B632" s="3" t="s">
        <v>463</v>
      </c>
      <c r="C632" s="44">
        <v>3010990401</v>
      </c>
      <c r="D632" s="3" t="s">
        <v>463</v>
      </c>
    </row>
    <row r="633" spans="1:4">
      <c r="A633" s="44">
        <v>30109902</v>
      </c>
      <c r="B633" s="3" t="s">
        <v>464</v>
      </c>
      <c r="C633" s="44">
        <v>3010990201</v>
      </c>
      <c r="D633" s="3" t="s">
        <v>464</v>
      </c>
    </row>
    <row r="634" spans="1:4">
      <c r="A634" s="97">
        <v>40142109</v>
      </c>
      <c r="B634" s="100" t="s">
        <v>465</v>
      </c>
      <c r="C634" s="44">
        <v>4014210903</v>
      </c>
      <c r="D634" s="3" t="s">
        <v>466</v>
      </c>
    </row>
    <row r="635" spans="1:4">
      <c r="A635" s="98"/>
      <c r="B635" s="101"/>
      <c r="C635" s="44">
        <v>4014210901</v>
      </c>
      <c r="D635" s="3" t="s">
        <v>467</v>
      </c>
    </row>
    <row r="636" spans="1:4">
      <c r="A636" s="99"/>
      <c r="B636" s="102"/>
      <c r="C636" s="44">
        <v>4014210902</v>
      </c>
      <c r="D636" s="3" t="s">
        <v>468</v>
      </c>
    </row>
    <row r="637" spans="1:4">
      <c r="A637" s="44">
        <v>30111593</v>
      </c>
      <c r="B637" s="3" t="s">
        <v>469</v>
      </c>
      <c r="C637" s="44">
        <v>3011159301</v>
      </c>
      <c r="D637" s="3" t="s">
        <v>469</v>
      </c>
    </row>
    <row r="638" spans="1:4">
      <c r="A638" s="97">
        <v>40141782</v>
      </c>
      <c r="B638" s="100" t="s">
        <v>470</v>
      </c>
      <c r="C638" s="44">
        <v>4014178201</v>
      </c>
      <c r="D638" s="3" t="s">
        <v>471</v>
      </c>
    </row>
    <row r="639" spans="1:4">
      <c r="A639" s="98"/>
      <c r="B639" s="101"/>
      <c r="C639" s="44">
        <v>4014178202</v>
      </c>
      <c r="D639" s="3" t="s">
        <v>472</v>
      </c>
    </row>
    <row r="640" spans="1:4">
      <c r="A640" s="99"/>
      <c r="B640" s="102"/>
      <c r="C640" s="44">
        <v>4014178203</v>
      </c>
      <c r="D640" s="3" t="s">
        <v>473</v>
      </c>
    </row>
    <row r="641" spans="1:4">
      <c r="A641" s="44">
        <v>30131603</v>
      </c>
      <c r="B641" s="3" t="s">
        <v>474</v>
      </c>
      <c r="C641" s="44">
        <v>3013160301</v>
      </c>
      <c r="D641" s="3" t="s">
        <v>474</v>
      </c>
    </row>
    <row r="642" spans="1:4">
      <c r="A642" s="97">
        <v>30131502</v>
      </c>
      <c r="B642" s="100" t="s">
        <v>475</v>
      </c>
      <c r="C642" s="44">
        <v>3013150201</v>
      </c>
      <c r="D642" s="3" t="s">
        <v>476</v>
      </c>
    </row>
    <row r="643" spans="1:4">
      <c r="A643" s="98"/>
      <c r="B643" s="101"/>
      <c r="C643" s="44">
        <v>3013150206</v>
      </c>
      <c r="D643" s="3" t="s">
        <v>477</v>
      </c>
    </row>
    <row r="644" spans="1:4">
      <c r="A644" s="98"/>
      <c r="B644" s="101"/>
      <c r="C644" s="44">
        <v>3013150204</v>
      </c>
      <c r="D644" s="3" t="s">
        <v>478</v>
      </c>
    </row>
    <row r="645" spans="1:4">
      <c r="A645" s="98"/>
      <c r="B645" s="101"/>
      <c r="C645" s="44">
        <v>3013150209</v>
      </c>
      <c r="D645" s="3" t="s">
        <v>479</v>
      </c>
    </row>
    <row r="646" spans="1:4">
      <c r="A646" s="99"/>
      <c r="B646" s="102"/>
      <c r="C646" s="44">
        <v>3013150202</v>
      </c>
      <c r="D646" s="3" t="s">
        <v>480</v>
      </c>
    </row>
    <row r="647" spans="1:4">
      <c r="A647" s="44">
        <v>30131592</v>
      </c>
      <c r="B647" s="3" t="s">
        <v>481</v>
      </c>
      <c r="C647" s="44">
        <v>3013159201</v>
      </c>
      <c r="D647" s="3" t="s">
        <v>481</v>
      </c>
    </row>
    <row r="648" spans="1:4">
      <c r="A648" s="44">
        <v>30102802</v>
      </c>
      <c r="B648" s="3" t="s">
        <v>482</v>
      </c>
      <c r="C648" s="44">
        <v>3010280201</v>
      </c>
      <c r="D648" s="3" t="s">
        <v>482</v>
      </c>
    </row>
    <row r="649" spans="1:4">
      <c r="A649" s="97">
        <v>30131704</v>
      </c>
      <c r="B649" s="100" t="s">
        <v>483</v>
      </c>
      <c r="C649" s="44">
        <v>3013170403</v>
      </c>
      <c r="D649" s="3" t="s">
        <v>484</v>
      </c>
    </row>
    <row r="650" spans="1:4">
      <c r="A650" s="98"/>
      <c r="B650" s="101"/>
      <c r="C650" s="44">
        <v>3013170401</v>
      </c>
      <c r="D650" s="3" t="s">
        <v>485</v>
      </c>
    </row>
    <row r="651" spans="1:4">
      <c r="A651" s="98"/>
      <c r="B651" s="101"/>
      <c r="C651" s="44">
        <v>3013170405</v>
      </c>
      <c r="D651" s="3" t="s">
        <v>486</v>
      </c>
    </row>
    <row r="652" spans="1:4">
      <c r="A652" s="98"/>
      <c r="B652" s="101"/>
      <c r="C652" s="44">
        <v>3013170408</v>
      </c>
      <c r="D652" s="3" t="s">
        <v>487</v>
      </c>
    </row>
    <row r="653" spans="1:4">
      <c r="A653" s="98"/>
      <c r="B653" s="101"/>
      <c r="C653" s="44">
        <v>3013170402</v>
      </c>
      <c r="D653" s="3" t="s">
        <v>488</v>
      </c>
    </row>
    <row r="654" spans="1:4">
      <c r="A654" s="98"/>
      <c r="B654" s="101"/>
      <c r="C654" s="44">
        <v>3013170409</v>
      </c>
      <c r="D654" s="3" t="s">
        <v>489</v>
      </c>
    </row>
    <row r="655" spans="1:4">
      <c r="A655" s="99"/>
      <c r="B655" s="102"/>
      <c r="C655" s="44">
        <v>3013170410</v>
      </c>
      <c r="D655" s="3" t="s">
        <v>490</v>
      </c>
    </row>
    <row r="656" spans="1:4">
      <c r="A656" s="44">
        <v>40142189</v>
      </c>
      <c r="B656" s="3" t="s">
        <v>491</v>
      </c>
      <c r="C656" s="44">
        <v>4014218902</v>
      </c>
      <c r="D656" s="3" t="s">
        <v>492</v>
      </c>
    </row>
    <row r="657" spans="1:4">
      <c r="A657" s="44">
        <v>40142384</v>
      </c>
      <c r="B657" s="3" t="s">
        <v>493</v>
      </c>
      <c r="C657" s="44">
        <v>4014238401</v>
      </c>
      <c r="D657" s="3" t="s">
        <v>494</v>
      </c>
    </row>
    <row r="658" spans="1:4">
      <c r="A658" s="44">
        <v>40141786</v>
      </c>
      <c r="B658" s="3" t="s">
        <v>495</v>
      </c>
      <c r="C658" s="44">
        <v>4014178601</v>
      </c>
      <c r="D658" s="3" t="s">
        <v>495</v>
      </c>
    </row>
    <row r="659" spans="1:4">
      <c r="A659" s="97">
        <v>39131706</v>
      </c>
      <c r="B659" s="100" t="s">
        <v>496</v>
      </c>
      <c r="C659" s="44">
        <v>3913170605</v>
      </c>
      <c r="D659" s="3" t="s">
        <v>497</v>
      </c>
    </row>
    <row r="660" spans="1:4">
      <c r="A660" s="98"/>
      <c r="B660" s="101"/>
      <c r="C660" s="44">
        <v>3913170610</v>
      </c>
      <c r="D660" s="3" t="s">
        <v>498</v>
      </c>
    </row>
    <row r="661" spans="1:4">
      <c r="A661" s="98"/>
      <c r="B661" s="101"/>
      <c r="C661" s="44">
        <v>3913170606</v>
      </c>
      <c r="D661" s="3" t="s">
        <v>499</v>
      </c>
    </row>
    <row r="662" spans="1:4">
      <c r="A662" s="98"/>
      <c r="B662" s="101"/>
      <c r="C662" s="44">
        <v>3913170603</v>
      </c>
      <c r="D662" s="3" t="s">
        <v>500</v>
      </c>
    </row>
    <row r="663" spans="1:4">
      <c r="A663" s="99"/>
      <c r="B663" s="102"/>
      <c r="C663" s="44">
        <v>3913170607</v>
      </c>
      <c r="D663" s="3" t="s">
        <v>501</v>
      </c>
    </row>
    <row r="664" spans="1:4">
      <c r="A664" s="44">
        <v>44103103</v>
      </c>
      <c r="B664" s="3" t="s">
        <v>502</v>
      </c>
      <c r="C664" s="44">
        <v>4410310301</v>
      </c>
      <c r="D664" s="3" t="s">
        <v>503</v>
      </c>
    </row>
    <row r="665" spans="1:4">
      <c r="A665" s="44">
        <v>31211518</v>
      </c>
      <c r="B665" s="3" t="s">
        <v>504</v>
      </c>
      <c r="C665" s="44">
        <v>3121151801</v>
      </c>
      <c r="D665" s="3" t="s">
        <v>504</v>
      </c>
    </row>
    <row r="666" spans="1:4">
      <c r="A666" s="44">
        <v>31211501</v>
      </c>
      <c r="B666" s="3" t="s">
        <v>505</v>
      </c>
      <c r="C666" s="44">
        <v>3121150101</v>
      </c>
      <c r="D666" s="3" t="s">
        <v>505</v>
      </c>
    </row>
    <row r="667" spans="1:4">
      <c r="A667" s="44">
        <v>31211599</v>
      </c>
      <c r="B667" s="3" t="s">
        <v>506</v>
      </c>
      <c r="C667" s="44">
        <v>3121159901</v>
      </c>
      <c r="D667" s="3" t="s">
        <v>506</v>
      </c>
    </row>
    <row r="668" spans="1:4">
      <c r="A668" s="11">
        <v>31211513</v>
      </c>
      <c r="B668" s="12" t="s">
        <v>507</v>
      </c>
      <c r="C668" s="11">
        <v>3121151301</v>
      </c>
      <c r="D668" s="12" t="s">
        <v>508</v>
      </c>
    </row>
    <row r="669" spans="1:4">
      <c r="A669" s="44">
        <v>31211803</v>
      </c>
      <c r="B669" s="3" t="s">
        <v>509</v>
      </c>
      <c r="C669" s="44">
        <v>3121180301</v>
      </c>
      <c r="D669" s="3" t="s">
        <v>510</v>
      </c>
    </row>
    <row r="670" spans="1:4">
      <c r="A670" s="97">
        <v>40142197</v>
      </c>
      <c r="B670" s="100" t="s">
        <v>511</v>
      </c>
      <c r="C670" s="44">
        <v>4014219702</v>
      </c>
      <c r="D670" s="3" t="s">
        <v>512</v>
      </c>
    </row>
    <row r="671" spans="1:4">
      <c r="A671" s="99"/>
      <c r="B671" s="102"/>
      <c r="C671" s="44">
        <v>4014219701</v>
      </c>
      <c r="D671" s="3" t="s">
        <v>513</v>
      </c>
    </row>
    <row r="672" spans="1:4">
      <c r="A672" s="97">
        <v>40142393</v>
      </c>
      <c r="B672" s="100" t="s">
        <v>514</v>
      </c>
      <c r="C672" s="44">
        <v>4014239302</v>
      </c>
      <c r="D672" s="3" t="s">
        <v>515</v>
      </c>
    </row>
    <row r="673" spans="1:4">
      <c r="A673" s="99"/>
      <c r="B673" s="102"/>
      <c r="C673" s="44">
        <v>4014239301</v>
      </c>
      <c r="D673" s="3" t="s">
        <v>516</v>
      </c>
    </row>
    <row r="674" spans="1:4">
      <c r="A674" s="44">
        <v>24112404</v>
      </c>
      <c r="B674" s="3" t="s">
        <v>517</v>
      </c>
      <c r="C674" s="44">
        <v>2411240403</v>
      </c>
      <c r="D674" s="3" t="s">
        <v>518</v>
      </c>
    </row>
    <row r="675" spans="1:4">
      <c r="A675" s="47">
        <v>40141789</v>
      </c>
      <c r="B675" s="8" t="s">
        <v>519</v>
      </c>
      <c r="C675" s="44">
        <v>4014178901</v>
      </c>
      <c r="D675" s="3" t="s">
        <v>520</v>
      </c>
    </row>
    <row r="676" spans="1:4">
      <c r="A676" s="5">
        <v>24112702</v>
      </c>
      <c r="B676" s="6" t="s">
        <v>521</v>
      </c>
      <c r="C676" s="44">
        <v>2411270201</v>
      </c>
      <c r="D676" s="3" t="s">
        <v>521</v>
      </c>
    </row>
    <row r="677" spans="1:4">
      <c r="A677" s="44">
        <v>24122002</v>
      </c>
      <c r="B677" s="3" t="s">
        <v>522</v>
      </c>
      <c r="C677" s="44">
        <v>2412200201</v>
      </c>
      <c r="D677" s="3" t="s">
        <v>522</v>
      </c>
    </row>
    <row r="678" spans="1:4">
      <c r="A678" s="44">
        <v>30151899</v>
      </c>
      <c r="B678" s="3" t="s">
        <v>523</v>
      </c>
      <c r="C678" s="44">
        <v>3015189901</v>
      </c>
      <c r="D678" s="3" t="s">
        <v>524</v>
      </c>
    </row>
    <row r="679" spans="1:4">
      <c r="A679" s="44">
        <v>47121701</v>
      </c>
      <c r="B679" s="3" t="s">
        <v>525</v>
      </c>
      <c r="C679" s="44">
        <v>4712170101</v>
      </c>
      <c r="D679" s="3" t="s">
        <v>525</v>
      </c>
    </row>
    <row r="680" spans="1:4">
      <c r="A680" s="44">
        <v>13111201</v>
      </c>
      <c r="B680" s="3" t="s">
        <v>526</v>
      </c>
      <c r="C680" s="44">
        <v>1311120101</v>
      </c>
      <c r="D680" s="3" t="s">
        <v>526</v>
      </c>
    </row>
    <row r="681" spans="1:4">
      <c r="A681" s="44">
        <v>47101608</v>
      </c>
      <c r="B681" s="3" t="s">
        <v>527</v>
      </c>
      <c r="C681" s="44">
        <v>4710160802</v>
      </c>
      <c r="D681" s="3" t="s">
        <v>528</v>
      </c>
    </row>
    <row r="682" spans="1:4">
      <c r="A682" s="97">
        <v>24111503</v>
      </c>
      <c r="B682" s="100" t="s">
        <v>529</v>
      </c>
      <c r="C682" s="44">
        <v>2411150303</v>
      </c>
      <c r="D682" s="3" t="s">
        <v>530</v>
      </c>
    </row>
    <row r="683" spans="1:4">
      <c r="A683" s="99"/>
      <c r="B683" s="102"/>
      <c r="C683" s="44">
        <v>2411150301</v>
      </c>
      <c r="D683" s="3" t="s">
        <v>531</v>
      </c>
    </row>
    <row r="684" spans="1:4">
      <c r="A684" s="44">
        <v>11101522</v>
      </c>
      <c r="B684" s="3" t="s">
        <v>532</v>
      </c>
      <c r="C684" s="44">
        <v>1110152201</v>
      </c>
      <c r="D684" s="3" t="s">
        <v>533</v>
      </c>
    </row>
    <row r="685" spans="1:4">
      <c r="A685" s="97">
        <v>24111810</v>
      </c>
      <c r="B685" s="100" t="s">
        <v>65</v>
      </c>
      <c r="C685" s="44">
        <v>2411181001</v>
      </c>
      <c r="D685" s="3" t="s">
        <v>66</v>
      </c>
    </row>
    <row r="686" spans="1:4">
      <c r="A686" s="99"/>
      <c r="B686" s="102"/>
      <c r="C686" s="44">
        <v>2411181002</v>
      </c>
      <c r="D686" s="3" t="s">
        <v>67</v>
      </c>
    </row>
    <row r="687" spans="1:4">
      <c r="A687" s="44">
        <v>24111805</v>
      </c>
      <c r="B687" s="3" t="s">
        <v>534</v>
      </c>
      <c r="C687" s="44">
        <v>2411180501</v>
      </c>
      <c r="D687" s="3" t="s">
        <v>534</v>
      </c>
    </row>
    <row r="688" spans="1:4">
      <c r="A688" s="44">
        <v>47101535</v>
      </c>
      <c r="B688" s="3" t="s">
        <v>535</v>
      </c>
      <c r="C688" s="44">
        <v>4710153501</v>
      </c>
      <c r="D688" s="3" t="s">
        <v>536</v>
      </c>
    </row>
    <row r="689" spans="1:4">
      <c r="A689" s="44">
        <v>30231602</v>
      </c>
      <c r="B689" s="3" t="s">
        <v>225</v>
      </c>
      <c r="C689" s="44">
        <v>3023160201</v>
      </c>
      <c r="D689" s="4" t="s">
        <v>537</v>
      </c>
    </row>
    <row r="690" spans="1:4">
      <c r="A690" s="44">
        <v>47101531</v>
      </c>
      <c r="B690" s="3" t="s">
        <v>538</v>
      </c>
      <c r="C690" s="44">
        <v>4710153101</v>
      </c>
      <c r="D690" s="3" t="s">
        <v>538</v>
      </c>
    </row>
    <row r="691" spans="1:4">
      <c r="A691" s="44">
        <v>30171588</v>
      </c>
      <c r="B691" s="3" t="s">
        <v>539</v>
      </c>
      <c r="C691" s="44">
        <v>3017158801</v>
      </c>
      <c r="D691" s="3" t="s">
        <v>539</v>
      </c>
    </row>
    <row r="692" spans="1:4">
      <c r="A692" s="44">
        <v>30179997</v>
      </c>
      <c r="B692" s="3" t="s">
        <v>540</v>
      </c>
      <c r="C692" s="44">
        <v>3017999701</v>
      </c>
      <c r="D692" s="3" t="s">
        <v>540</v>
      </c>
    </row>
    <row r="693" spans="1:4">
      <c r="A693" s="44">
        <v>30171695</v>
      </c>
      <c r="B693" s="3" t="s">
        <v>541</v>
      </c>
      <c r="C693" s="44">
        <v>3017169501</v>
      </c>
      <c r="D693" s="3" t="s">
        <v>541</v>
      </c>
    </row>
    <row r="694" spans="1:4">
      <c r="A694" s="97">
        <v>47121702</v>
      </c>
      <c r="B694" s="100" t="s">
        <v>542</v>
      </c>
      <c r="C694" s="46">
        <v>4712170201</v>
      </c>
      <c r="D694" s="45" t="s">
        <v>543</v>
      </c>
    </row>
    <row r="695" spans="1:4">
      <c r="A695" s="99"/>
      <c r="B695" s="102"/>
      <c r="C695" s="44">
        <v>4712170202</v>
      </c>
      <c r="D695" s="3" t="s">
        <v>544</v>
      </c>
    </row>
    <row r="696" spans="1:4">
      <c r="A696" s="44">
        <v>30222097</v>
      </c>
      <c r="B696" s="3" t="s">
        <v>545</v>
      </c>
      <c r="C696" s="44">
        <v>3022209701</v>
      </c>
      <c r="D696" s="3" t="s">
        <v>545</v>
      </c>
    </row>
    <row r="697" spans="1:4">
      <c r="A697" s="44">
        <v>30129999</v>
      </c>
      <c r="B697" s="3" t="s">
        <v>546</v>
      </c>
      <c r="C697" s="44">
        <v>3012999901</v>
      </c>
      <c r="D697" s="3" t="s">
        <v>547</v>
      </c>
    </row>
    <row r="698" spans="1:4">
      <c r="A698" s="97">
        <v>40142185</v>
      </c>
      <c r="B698" s="100" t="s">
        <v>548</v>
      </c>
      <c r="C698" s="44">
        <v>4014218502</v>
      </c>
      <c r="D698" s="3" t="s">
        <v>549</v>
      </c>
    </row>
    <row r="699" spans="1:4">
      <c r="A699" s="99"/>
      <c r="B699" s="102"/>
      <c r="C699" s="44">
        <v>4014218501</v>
      </c>
      <c r="D699" s="3" t="s">
        <v>550</v>
      </c>
    </row>
    <row r="700" spans="1:4">
      <c r="A700" s="97">
        <v>40142396</v>
      </c>
      <c r="B700" s="100" t="s">
        <v>551</v>
      </c>
      <c r="C700" s="44">
        <v>4014239602</v>
      </c>
      <c r="D700" s="3" t="s">
        <v>552</v>
      </c>
    </row>
    <row r="701" spans="1:4">
      <c r="A701" s="98"/>
      <c r="B701" s="101"/>
      <c r="C701" s="44">
        <v>4014239601</v>
      </c>
      <c r="D701" s="3" t="s">
        <v>553</v>
      </c>
    </row>
    <row r="702" spans="1:4">
      <c r="A702" s="99"/>
      <c r="B702" s="102"/>
      <c r="C702" s="44">
        <v>4014239604</v>
      </c>
      <c r="D702" s="3" t="s">
        <v>554</v>
      </c>
    </row>
    <row r="703" spans="1:4">
      <c r="A703" s="44">
        <v>76111501</v>
      </c>
      <c r="B703" s="3" t="s">
        <v>555</v>
      </c>
      <c r="C703" s="44">
        <v>7611150101</v>
      </c>
      <c r="D703" s="3" t="s">
        <v>555</v>
      </c>
    </row>
    <row r="704" spans="1:4">
      <c r="A704" s="44">
        <v>92121599</v>
      </c>
      <c r="B704" s="3" t="s">
        <v>556</v>
      </c>
      <c r="C704" s="44">
        <v>9212159901</v>
      </c>
      <c r="D704" s="3" t="s">
        <v>556</v>
      </c>
    </row>
    <row r="705" spans="1:4">
      <c r="A705" s="44">
        <v>81151699</v>
      </c>
      <c r="B705" s="3" t="s">
        <v>557</v>
      </c>
      <c r="C705" s="44">
        <v>8115169901</v>
      </c>
      <c r="D705" s="3" t="s">
        <v>557</v>
      </c>
    </row>
    <row r="706" spans="1:4">
      <c r="A706" s="44">
        <v>78111899</v>
      </c>
      <c r="B706" s="3" t="s">
        <v>558</v>
      </c>
      <c r="C706" s="44">
        <v>7811189901</v>
      </c>
      <c r="D706" s="3" t="s">
        <v>559</v>
      </c>
    </row>
    <row r="707" spans="1:4">
      <c r="A707" s="44">
        <v>25111502</v>
      </c>
      <c r="B707" s="3" t="s">
        <v>560</v>
      </c>
      <c r="C707" s="44">
        <v>2511150201</v>
      </c>
      <c r="D707" s="3" t="s">
        <v>560</v>
      </c>
    </row>
    <row r="708" spans="1:4">
      <c r="A708" s="97">
        <v>25111503</v>
      </c>
      <c r="B708" s="100" t="s">
        <v>561</v>
      </c>
      <c r="C708" s="44">
        <v>2511150301</v>
      </c>
      <c r="D708" s="3" t="s">
        <v>562</v>
      </c>
    </row>
    <row r="709" spans="1:4">
      <c r="A709" s="99"/>
      <c r="B709" s="102"/>
      <c r="C709" s="44">
        <v>2511150302</v>
      </c>
      <c r="D709" s="3" t="s">
        <v>563</v>
      </c>
    </row>
    <row r="710" spans="1:4">
      <c r="A710" s="44">
        <v>25111504</v>
      </c>
      <c r="B710" s="3" t="s">
        <v>564</v>
      </c>
      <c r="C710" s="44">
        <v>2511150401</v>
      </c>
      <c r="D710" s="3" t="s">
        <v>564</v>
      </c>
    </row>
    <row r="711" spans="1:4">
      <c r="A711" s="44">
        <v>25111505</v>
      </c>
      <c r="B711" s="3" t="s">
        <v>565</v>
      </c>
      <c r="C711" s="44">
        <v>2511150501</v>
      </c>
      <c r="D711" s="3" t="s">
        <v>565</v>
      </c>
    </row>
    <row r="712" spans="1:4">
      <c r="A712" s="44">
        <v>25111522</v>
      </c>
      <c r="B712" s="3" t="s">
        <v>566</v>
      </c>
      <c r="C712" s="44">
        <v>2511152201</v>
      </c>
      <c r="D712" s="3" t="s">
        <v>566</v>
      </c>
    </row>
    <row r="713" spans="1:4">
      <c r="A713" s="44">
        <v>25111506</v>
      </c>
      <c r="B713" s="3" t="s">
        <v>567</v>
      </c>
      <c r="C713" s="44">
        <v>2511150601</v>
      </c>
      <c r="D713" s="3" t="s">
        <v>567</v>
      </c>
    </row>
    <row r="714" spans="1:4">
      <c r="A714" s="44">
        <v>25111507</v>
      </c>
      <c r="B714" s="3" t="s">
        <v>568</v>
      </c>
      <c r="C714" s="44">
        <v>2511150701</v>
      </c>
      <c r="D714" s="3" t="s">
        <v>568</v>
      </c>
    </row>
    <row r="715" spans="1:4">
      <c r="A715" s="97">
        <v>25111508</v>
      </c>
      <c r="B715" s="100" t="s">
        <v>569</v>
      </c>
      <c r="C715" s="44">
        <v>2511150801</v>
      </c>
      <c r="D715" s="3" t="s">
        <v>570</v>
      </c>
    </row>
    <row r="716" spans="1:4">
      <c r="A716" s="99"/>
      <c r="B716" s="102"/>
      <c r="C716" s="44">
        <v>2511150802</v>
      </c>
      <c r="D716" s="3" t="s">
        <v>571</v>
      </c>
    </row>
    <row r="717" spans="1:4">
      <c r="A717" s="44">
        <v>25111509</v>
      </c>
      <c r="B717" s="3" t="s">
        <v>572</v>
      </c>
      <c r="C717" s="44">
        <v>2511150901</v>
      </c>
      <c r="D717" s="3" t="s">
        <v>572</v>
      </c>
    </row>
    <row r="718" spans="1:4">
      <c r="A718" s="44">
        <v>25111510</v>
      </c>
      <c r="B718" s="3" t="s">
        <v>573</v>
      </c>
      <c r="C718" s="44">
        <v>2511151001</v>
      </c>
      <c r="D718" s="3" t="s">
        <v>573</v>
      </c>
    </row>
    <row r="719" spans="1:4">
      <c r="A719" s="44">
        <v>25111590</v>
      </c>
      <c r="B719" s="3" t="s">
        <v>574</v>
      </c>
      <c r="C719" s="44">
        <v>2511159001</v>
      </c>
      <c r="D719" s="3" t="s">
        <v>574</v>
      </c>
    </row>
    <row r="720" spans="1:4">
      <c r="A720" s="44">
        <v>25111591</v>
      </c>
      <c r="B720" s="3" t="s">
        <v>575</v>
      </c>
      <c r="C720" s="44">
        <v>2511159101</v>
      </c>
      <c r="D720" s="3" t="s">
        <v>575</v>
      </c>
    </row>
    <row r="721" spans="1:4">
      <c r="A721" s="44">
        <v>25111524</v>
      </c>
      <c r="B721" s="3" t="s">
        <v>576</v>
      </c>
      <c r="C721" s="44">
        <v>2511152401</v>
      </c>
      <c r="D721" s="3" t="s">
        <v>576</v>
      </c>
    </row>
    <row r="722" spans="1:4">
      <c r="A722" s="44">
        <v>25111525</v>
      </c>
      <c r="B722" s="3" t="s">
        <v>577</v>
      </c>
      <c r="C722" s="44">
        <v>2511152501</v>
      </c>
      <c r="D722" s="3" t="s">
        <v>577</v>
      </c>
    </row>
    <row r="723" spans="1:4">
      <c r="A723" s="44">
        <v>24101642</v>
      </c>
      <c r="B723" s="3" t="s">
        <v>578</v>
      </c>
      <c r="C723" s="44">
        <v>2410164201</v>
      </c>
      <c r="D723" s="3" t="s">
        <v>578</v>
      </c>
    </row>
    <row r="724" spans="1:4">
      <c r="A724" s="44">
        <v>25111597</v>
      </c>
      <c r="B724" s="3" t="s">
        <v>579</v>
      </c>
      <c r="C724" s="44">
        <v>2511159701</v>
      </c>
      <c r="D724" s="3" t="s">
        <v>579</v>
      </c>
    </row>
    <row r="725" spans="1:4">
      <c r="A725" s="44">
        <v>25111527</v>
      </c>
      <c r="B725" s="3" t="s">
        <v>580</v>
      </c>
      <c r="C725" s="44">
        <v>2511152701</v>
      </c>
      <c r="D725" s="3" t="s">
        <v>580</v>
      </c>
    </row>
    <row r="726" spans="1:4">
      <c r="A726" s="44">
        <v>25111602</v>
      </c>
      <c r="B726" s="3" t="s">
        <v>581</v>
      </c>
      <c r="C726" s="44">
        <v>2511160201</v>
      </c>
      <c r="D726" s="3" t="s">
        <v>581</v>
      </c>
    </row>
    <row r="727" spans="1:4">
      <c r="A727" s="44">
        <v>25111603</v>
      </c>
      <c r="B727" s="3" t="s">
        <v>582</v>
      </c>
      <c r="C727" s="44">
        <v>2511160301</v>
      </c>
      <c r="D727" s="3" t="s">
        <v>583</v>
      </c>
    </row>
    <row r="728" spans="1:4">
      <c r="A728" s="44">
        <v>25111518</v>
      </c>
      <c r="B728" s="3" t="s">
        <v>584</v>
      </c>
      <c r="C728" s="44">
        <v>2511151801</v>
      </c>
      <c r="D728" s="3" t="s">
        <v>584</v>
      </c>
    </row>
    <row r="729" spans="1:4">
      <c r="A729" s="44">
        <v>25111718</v>
      </c>
      <c r="B729" s="3" t="s">
        <v>585</v>
      </c>
      <c r="C729" s="44">
        <v>2511171801</v>
      </c>
      <c r="D729" s="3" t="s">
        <v>585</v>
      </c>
    </row>
    <row r="730" spans="1:4">
      <c r="A730" s="44">
        <v>25111722</v>
      </c>
      <c r="B730" s="3" t="s">
        <v>586</v>
      </c>
      <c r="C730" s="44">
        <v>2511172201</v>
      </c>
      <c r="D730" s="3" t="s">
        <v>586</v>
      </c>
    </row>
    <row r="731" spans="1:4">
      <c r="A731" s="44">
        <v>25111801</v>
      </c>
      <c r="B731" s="3" t="s">
        <v>587</v>
      </c>
      <c r="C731" s="44">
        <v>2511180101</v>
      </c>
      <c r="D731" s="3" t="s">
        <v>588</v>
      </c>
    </row>
    <row r="732" spans="1:4">
      <c r="A732" s="44">
        <v>25111802</v>
      </c>
      <c r="B732" s="3" t="s">
        <v>589</v>
      </c>
      <c r="C732" s="44">
        <v>2511180201</v>
      </c>
      <c r="D732" s="3" t="s">
        <v>589</v>
      </c>
    </row>
    <row r="733" spans="1:4">
      <c r="A733" s="44">
        <v>25111803</v>
      </c>
      <c r="B733" s="3" t="s">
        <v>590</v>
      </c>
      <c r="C733" s="44">
        <v>2511180301</v>
      </c>
      <c r="D733" s="3" t="s">
        <v>590</v>
      </c>
    </row>
    <row r="734" spans="1:4">
      <c r="A734" s="44">
        <v>25111806</v>
      </c>
      <c r="B734" s="3" t="s">
        <v>591</v>
      </c>
      <c r="C734" s="44">
        <v>2511180601</v>
      </c>
      <c r="D734" s="3" t="s">
        <v>591</v>
      </c>
    </row>
    <row r="735" spans="1:4">
      <c r="A735" s="44">
        <v>25111807</v>
      </c>
      <c r="B735" s="3" t="s">
        <v>592</v>
      </c>
      <c r="C735" s="44">
        <v>2511180701</v>
      </c>
      <c r="D735" s="3" t="s">
        <v>592</v>
      </c>
    </row>
    <row r="736" spans="1:4">
      <c r="A736" s="44">
        <v>25111808</v>
      </c>
      <c r="B736" s="3" t="s">
        <v>593</v>
      </c>
      <c r="C736" s="44">
        <v>2511180801</v>
      </c>
      <c r="D736" s="3" t="s">
        <v>593</v>
      </c>
    </row>
    <row r="737" spans="1:4">
      <c r="A737" s="44">
        <v>25112001</v>
      </c>
      <c r="B737" s="3" t="s">
        <v>594</v>
      </c>
      <c r="C737" s="44">
        <v>2511200101</v>
      </c>
      <c r="D737" s="3" t="s">
        <v>594</v>
      </c>
    </row>
    <row r="738" spans="1:4">
      <c r="A738" s="44">
        <v>25111529</v>
      </c>
      <c r="B738" s="3" t="s">
        <v>595</v>
      </c>
      <c r="C738" s="44">
        <v>2511152901</v>
      </c>
      <c r="D738" s="3" t="s">
        <v>595</v>
      </c>
    </row>
    <row r="739" spans="1:4">
      <c r="A739" s="44">
        <v>25111530</v>
      </c>
      <c r="B739" s="3" t="s">
        <v>596</v>
      </c>
      <c r="C739" s="44">
        <v>2511153001</v>
      </c>
      <c r="D739" s="3" t="s">
        <v>596</v>
      </c>
    </row>
    <row r="740" spans="1:4">
      <c r="A740" s="44">
        <v>25112004</v>
      </c>
      <c r="B740" s="3" t="s">
        <v>597</v>
      </c>
      <c r="C740" s="44">
        <v>2511200401</v>
      </c>
      <c r="D740" s="3" t="s">
        <v>597</v>
      </c>
    </row>
    <row r="741" spans="1:4">
      <c r="A741" s="44">
        <v>25111531</v>
      </c>
      <c r="B741" s="3" t="s">
        <v>598</v>
      </c>
      <c r="C741" s="44">
        <v>2511153101</v>
      </c>
      <c r="D741" s="3" t="s">
        <v>598</v>
      </c>
    </row>
    <row r="742" spans="1:4">
      <c r="A742" s="44">
        <v>25112006</v>
      </c>
      <c r="B742" s="3" t="s">
        <v>599</v>
      </c>
      <c r="C742" s="44">
        <v>2511200601</v>
      </c>
      <c r="D742" s="3" t="s">
        <v>599</v>
      </c>
    </row>
    <row r="743" spans="1:4">
      <c r="A743" s="44">
        <v>25112007</v>
      </c>
      <c r="B743" s="3" t="s">
        <v>600</v>
      </c>
      <c r="C743" s="44">
        <v>2511200701</v>
      </c>
      <c r="D743" s="3" t="s">
        <v>600</v>
      </c>
    </row>
    <row r="744" spans="1:4">
      <c r="A744" s="44">
        <v>25112008</v>
      </c>
      <c r="B744" s="3" t="s">
        <v>601</v>
      </c>
      <c r="C744" s="44">
        <v>2511200801</v>
      </c>
      <c r="D744" s="3" t="s">
        <v>601</v>
      </c>
    </row>
    <row r="745" spans="1:4">
      <c r="A745" s="44">
        <v>25112009</v>
      </c>
      <c r="B745" s="3" t="s">
        <v>602</v>
      </c>
      <c r="C745" s="44">
        <v>2511200901</v>
      </c>
      <c r="D745" s="3" t="s">
        <v>602</v>
      </c>
    </row>
    <row r="746" spans="1:4">
      <c r="A746" s="44">
        <v>25111726</v>
      </c>
      <c r="B746" s="3" t="s">
        <v>603</v>
      </c>
      <c r="C746" s="44">
        <v>2511172601</v>
      </c>
      <c r="D746" s="3" t="s">
        <v>603</v>
      </c>
    </row>
    <row r="747" spans="1:4">
      <c r="A747" s="44">
        <v>25112011</v>
      </c>
      <c r="B747" s="3" t="s">
        <v>604</v>
      </c>
      <c r="C747" s="44">
        <v>2511201101</v>
      </c>
      <c r="D747" s="3" t="s">
        <v>604</v>
      </c>
    </row>
    <row r="748" spans="1:4">
      <c r="A748" s="44">
        <v>25112012</v>
      </c>
      <c r="B748" s="3" t="s">
        <v>605</v>
      </c>
      <c r="C748" s="44">
        <v>2511201201</v>
      </c>
      <c r="D748" s="3" t="s">
        <v>605</v>
      </c>
    </row>
    <row r="749" spans="1:4">
      <c r="A749" s="44">
        <v>25111533</v>
      </c>
      <c r="B749" s="3" t="s">
        <v>606</v>
      </c>
      <c r="C749" s="44">
        <v>2511153301</v>
      </c>
      <c r="D749" s="3" t="s">
        <v>606</v>
      </c>
    </row>
    <row r="750" spans="1:4">
      <c r="A750" s="44">
        <v>25112014</v>
      </c>
      <c r="B750" s="3" t="s">
        <v>607</v>
      </c>
      <c r="C750" s="44">
        <v>2511201401</v>
      </c>
      <c r="D750" s="3" t="s">
        <v>607</v>
      </c>
    </row>
    <row r="751" spans="1:4">
      <c r="A751" s="44">
        <v>30222017</v>
      </c>
      <c r="B751" s="3" t="s">
        <v>608</v>
      </c>
      <c r="C751" s="44">
        <v>3022201701</v>
      </c>
      <c r="D751" s="3" t="s">
        <v>608</v>
      </c>
    </row>
    <row r="752" spans="1:4">
      <c r="A752" s="44">
        <v>72154010</v>
      </c>
      <c r="B752" s="3" t="s">
        <v>609</v>
      </c>
      <c r="C752" s="44">
        <v>7215401001</v>
      </c>
      <c r="D752" s="3" t="s">
        <v>609</v>
      </c>
    </row>
    <row r="753" spans="1:4">
      <c r="A753" s="44">
        <v>81112002</v>
      </c>
      <c r="B753" s="3" t="s">
        <v>610</v>
      </c>
      <c r="C753" s="44">
        <v>8111200201</v>
      </c>
      <c r="D753" s="3" t="s">
        <v>611</v>
      </c>
    </row>
    <row r="754" spans="1:4">
      <c r="A754" s="44">
        <v>80141622</v>
      </c>
      <c r="B754" s="3" t="s">
        <v>612</v>
      </c>
      <c r="C754" s="44">
        <v>8014162201</v>
      </c>
      <c r="D754" s="3" t="s">
        <v>613</v>
      </c>
    </row>
    <row r="755" spans="1:4">
      <c r="A755" s="46">
        <v>81111599</v>
      </c>
      <c r="B755" s="45" t="s">
        <v>614</v>
      </c>
      <c r="C755" s="44">
        <v>8111159901</v>
      </c>
      <c r="D755" s="3" t="s">
        <v>614</v>
      </c>
    </row>
    <row r="756" spans="1:4">
      <c r="A756" s="11">
        <v>81112002</v>
      </c>
      <c r="B756" s="12" t="s">
        <v>610</v>
      </c>
      <c r="C756" s="44">
        <v>8111200202</v>
      </c>
      <c r="D756" s="3" t="s">
        <v>615</v>
      </c>
    </row>
    <row r="757" spans="1:4" ht="21.6">
      <c r="A757" s="44">
        <v>81111598</v>
      </c>
      <c r="B757" s="3" t="s">
        <v>616</v>
      </c>
      <c r="C757" s="44">
        <v>8111159801</v>
      </c>
      <c r="D757" s="3" t="s">
        <v>616</v>
      </c>
    </row>
    <row r="758" spans="1:4">
      <c r="A758" s="44">
        <v>81112299</v>
      </c>
      <c r="B758" s="3" t="s">
        <v>617</v>
      </c>
      <c r="C758" s="44">
        <v>8111229901</v>
      </c>
      <c r="D758" s="3" t="s">
        <v>617</v>
      </c>
    </row>
    <row r="759" spans="1:4">
      <c r="A759" s="44">
        <v>81111899</v>
      </c>
      <c r="B759" s="3" t="s">
        <v>618</v>
      </c>
      <c r="C759" s="44">
        <v>8111189901</v>
      </c>
      <c r="D759" s="3" t="s">
        <v>618</v>
      </c>
    </row>
    <row r="760" spans="1:4">
      <c r="A760" s="44">
        <v>81111811</v>
      </c>
      <c r="B760" s="3" t="s">
        <v>619</v>
      </c>
      <c r="C760" s="44">
        <v>8111181101</v>
      </c>
      <c r="D760" s="3" t="s">
        <v>619</v>
      </c>
    </row>
    <row r="761" spans="1:4">
      <c r="A761" s="44">
        <v>81112199</v>
      </c>
      <c r="B761" s="3" t="s">
        <v>620</v>
      </c>
      <c r="C761" s="44">
        <v>8111219901</v>
      </c>
      <c r="D761" s="3" t="s">
        <v>620</v>
      </c>
    </row>
    <row r="762" spans="1:4">
      <c r="A762" s="44">
        <v>81111799</v>
      </c>
      <c r="B762" s="3" t="s">
        <v>621</v>
      </c>
      <c r="C762" s="44">
        <v>8111179901</v>
      </c>
      <c r="D762" s="3" t="s">
        <v>621</v>
      </c>
    </row>
    <row r="763" spans="1:4">
      <c r="A763" s="103">
        <v>72154099</v>
      </c>
      <c r="B763" s="100" t="s">
        <v>622</v>
      </c>
      <c r="C763" s="44">
        <v>7215409901</v>
      </c>
      <c r="D763" s="3" t="s">
        <v>623</v>
      </c>
    </row>
    <row r="764" spans="1:4">
      <c r="A764" s="104"/>
      <c r="B764" s="102"/>
      <c r="C764" s="44">
        <v>7215409902</v>
      </c>
      <c r="D764" s="3" t="s">
        <v>624</v>
      </c>
    </row>
    <row r="765" spans="1:4">
      <c r="A765" s="44">
        <v>81151799</v>
      </c>
      <c r="B765" s="3" t="s">
        <v>625</v>
      </c>
      <c r="C765" s="44">
        <v>8115179901</v>
      </c>
      <c r="D765" s="3" t="s">
        <v>625</v>
      </c>
    </row>
    <row r="766" spans="1:4">
      <c r="A766" s="44">
        <v>81151604</v>
      </c>
      <c r="B766" s="3" t="s">
        <v>626</v>
      </c>
      <c r="C766" s="44">
        <v>8115160401</v>
      </c>
      <c r="D766" s="3" t="s">
        <v>626</v>
      </c>
    </row>
    <row r="767" spans="1:4">
      <c r="A767" s="44">
        <v>82131603</v>
      </c>
      <c r="B767" s="3" t="s">
        <v>627</v>
      </c>
      <c r="C767" s="44">
        <v>8213160301</v>
      </c>
      <c r="D767" s="3" t="s">
        <v>627</v>
      </c>
    </row>
    <row r="768" spans="1:4">
      <c r="A768" s="44">
        <v>80141990</v>
      </c>
      <c r="B768" s="3" t="s">
        <v>628</v>
      </c>
      <c r="C768" s="44">
        <v>8014199001</v>
      </c>
      <c r="D768" s="3" t="s">
        <v>628</v>
      </c>
    </row>
    <row r="769" spans="1:4">
      <c r="A769" s="44">
        <v>90151802</v>
      </c>
      <c r="B769" s="3" t="s">
        <v>629</v>
      </c>
      <c r="C769" s="44">
        <v>9015180201</v>
      </c>
      <c r="D769" s="3" t="s">
        <v>629</v>
      </c>
    </row>
  </sheetData>
  <mergeCells count="38">
    <mergeCell ref="A715:A716"/>
    <mergeCell ref="B715:B716"/>
    <mergeCell ref="A649:A655"/>
    <mergeCell ref="B649:B655"/>
    <mergeCell ref="A698:A699"/>
    <mergeCell ref="B698:B699"/>
    <mergeCell ref="A700:A702"/>
    <mergeCell ref="B700:B702"/>
    <mergeCell ref="A708:A709"/>
    <mergeCell ref="B708:B709"/>
    <mergeCell ref="A685:A686"/>
    <mergeCell ref="B685:B686"/>
    <mergeCell ref="A672:A673"/>
    <mergeCell ref="B672:B673"/>
    <mergeCell ref="A682:A683"/>
    <mergeCell ref="B682:B683"/>
    <mergeCell ref="A763:A764"/>
    <mergeCell ref="B763:B764"/>
    <mergeCell ref="A624:A625"/>
    <mergeCell ref="B624:B625"/>
    <mergeCell ref="A626:A627"/>
    <mergeCell ref="B626:B627"/>
    <mergeCell ref="A628:A629"/>
    <mergeCell ref="B628:B629"/>
    <mergeCell ref="A634:A636"/>
    <mergeCell ref="B634:B636"/>
    <mergeCell ref="A638:A640"/>
    <mergeCell ref="B638:B640"/>
    <mergeCell ref="A694:A695"/>
    <mergeCell ref="B694:B695"/>
    <mergeCell ref="A670:A671"/>
    <mergeCell ref="B670:B671"/>
    <mergeCell ref="A642:A646"/>
    <mergeCell ref="B642:B646"/>
    <mergeCell ref="A621:A623"/>
    <mergeCell ref="B621:B623"/>
    <mergeCell ref="A659:A663"/>
    <mergeCell ref="B659:B663"/>
  </mergeCells>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vt:i4>
      </vt:variant>
      <vt:variant>
        <vt:lpstr>이름 지정된 범위</vt:lpstr>
      </vt:variant>
      <vt:variant>
        <vt:i4>1</vt:i4>
      </vt:variant>
    </vt:vector>
  </HeadingPairs>
  <TitlesOfParts>
    <vt:vector size="4" baseType="lpstr">
      <vt:lpstr>입력창</vt:lpstr>
      <vt:lpstr>공고문</vt:lpstr>
      <vt:lpstr>(중소벤처기업부 공고 제2020-13호)</vt:lpstr>
      <vt:lpstr>공고문!Print_Area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강동경</dc:creator>
  <cp:lastModifiedBy>sungkyun jung</cp:lastModifiedBy>
  <cp:lastPrinted>2025-12-16T05:06:24Z</cp:lastPrinted>
  <dcterms:created xsi:type="dcterms:W3CDTF">2018-02-09T02:04:27Z</dcterms:created>
  <dcterms:modified xsi:type="dcterms:W3CDTF">2025-12-16T05:08:41Z</dcterms:modified>
</cp:coreProperties>
</file>